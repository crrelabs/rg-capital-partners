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 Yr Proforma" sheetId="1" r:id="rId4"/>
    <sheet state="visible" name="Rent Roll" sheetId="2" r:id="rId5"/>
  </sheets>
  <definedNames/>
  <calcPr/>
  <extLst>
    <ext uri="GoogleSheetsCustomDataVersion2">
      <go:sheetsCustomData xmlns:go="http://customooxmlschemas.google.com/" r:id="rId6" roundtripDataChecksum="Gd0Voe7zobdOGU0FMXtpRVt6maLkh1zuZpDr+8trbP4="/>
    </ext>
  </extLst>
</workbook>
</file>

<file path=xl/sharedStrings.xml><?xml version="1.0" encoding="utf-8"?>
<sst xmlns="http://schemas.openxmlformats.org/spreadsheetml/2006/main" count="98" uniqueCount="89">
  <si>
    <t>Twin Oaks Shopping Center - 118-138 E North Ave Belton, MO</t>
  </si>
  <si>
    <t>Location</t>
  </si>
  <si>
    <t>114-138 E North Ave</t>
  </si>
  <si>
    <t>Rentable SQ FT's</t>
  </si>
  <si>
    <t>Unit</t>
  </si>
  <si>
    <t>Tenant</t>
  </si>
  <si>
    <t>SF</t>
  </si>
  <si>
    <t>Base Rent</t>
  </si>
  <si>
    <t>Rent PSF</t>
  </si>
  <si>
    <t>Annual NNN Charges</t>
  </si>
  <si>
    <t>NNN PSF</t>
  </si>
  <si>
    <t>Annual</t>
  </si>
  <si>
    <t>Monthly Rent</t>
  </si>
  <si>
    <t>Lease Start</t>
  </si>
  <si>
    <t>Lease End</t>
  </si>
  <si>
    <t>Yr 1</t>
  </si>
  <si>
    <t>Y2</t>
  </si>
  <si>
    <t>Price/SQF</t>
  </si>
  <si>
    <t>Y3</t>
  </si>
  <si>
    <t>Y4</t>
  </si>
  <si>
    <t>Y5</t>
  </si>
  <si>
    <t>Notes</t>
  </si>
  <si>
    <t>Tenants #</t>
  </si>
  <si>
    <t>Purchase Price</t>
  </si>
  <si>
    <t>Bank Loan</t>
  </si>
  <si>
    <t>Down Payment</t>
  </si>
  <si>
    <t>138-138A</t>
  </si>
  <si>
    <t>Napa</t>
  </si>
  <si>
    <t>Closing Costs</t>
  </si>
  <si>
    <t>Working Capital</t>
  </si>
  <si>
    <t>Total Cash to Close</t>
  </si>
  <si>
    <t>$0.25/SF increases every 2 years. Next increase 1/1/2026 ($6.25/SF).</t>
  </si>
  <si>
    <t>134-136</t>
  </si>
  <si>
    <t>Iron Gates Gym</t>
  </si>
  <si>
    <t>Term</t>
  </si>
  <si>
    <t>Lease amounts through 2030 and then a 3% increase</t>
  </si>
  <si>
    <t>INCOME</t>
  </si>
  <si>
    <t>Y1 (Current)</t>
  </si>
  <si>
    <t>Barber</t>
  </si>
  <si>
    <t>Lease amounts through 2028 and then 3% increase</t>
  </si>
  <si>
    <t>Quinn's Laundry</t>
  </si>
  <si>
    <t>CAM</t>
  </si>
  <si>
    <t>Tax</t>
  </si>
  <si>
    <t>Lease amounts through 2030 and then 3% increase</t>
  </si>
  <si>
    <t>120-122</t>
  </si>
  <si>
    <t>Boost Mobile</t>
  </si>
  <si>
    <t>Insurance</t>
  </si>
  <si>
    <t>$13.11/SF in 2026, and 3% increase thereafter</t>
  </si>
  <si>
    <t>114-118</t>
  </si>
  <si>
    <t>Smoke Shop</t>
  </si>
  <si>
    <t>Total Income</t>
  </si>
  <si>
    <t>2% annual increase after lease term ends</t>
  </si>
  <si>
    <t>TOTALS</t>
  </si>
  <si>
    <t>General Vacancy</t>
  </si>
  <si>
    <t>Effective Gross Income</t>
  </si>
  <si>
    <t>EXPENSES</t>
  </si>
  <si>
    <t>General &amp; Administrative</t>
  </si>
  <si>
    <t>Advertising</t>
  </si>
  <si>
    <t>Property Management (5%)</t>
  </si>
  <si>
    <t>Asset Management (2%)</t>
  </si>
  <si>
    <t>CAM Charges</t>
  </si>
  <si>
    <t>RE Taxes</t>
  </si>
  <si>
    <t>CAM PSF</t>
  </si>
  <si>
    <t>Taxes</t>
  </si>
  <si>
    <t>Waste</t>
  </si>
  <si>
    <t>Taxes PSF</t>
  </si>
  <si>
    <t>Electricity and Gas</t>
  </si>
  <si>
    <t>Water &amp; Sewer</t>
  </si>
  <si>
    <t>Landscape &amp; Snow</t>
  </si>
  <si>
    <t>Insurance PSF</t>
  </si>
  <si>
    <t>Repairs / Maintenance</t>
  </si>
  <si>
    <t>Total NNN</t>
  </si>
  <si>
    <t>Total Expenses</t>
  </si>
  <si>
    <t>NOI</t>
  </si>
  <si>
    <t>Bank Debt Service</t>
  </si>
  <si>
    <t>Cash Flow</t>
  </si>
  <si>
    <t>CAP %</t>
  </si>
  <si>
    <t>CASH ON CASH %</t>
  </si>
  <si>
    <t>DSCR</t>
  </si>
  <si>
    <t>DISTRIBUTIONS</t>
  </si>
  <si>
    <t>Preferred Return (7%)</t>
  </si>
  <si>
    <t>Yr 2</t>
  </si>
  <si>
    <t>Yr 3</t>
  </si>
  <si>
    <t>Yr 4</t>
  </si>
  <si>
    <t>Yr 5</t>
  </si>
  <si>
    <t>Limited Partners</t>
  </si>
  <si>
    <t>General Partners</t>
  </si>
  <si>
    <t>Total</t>
  </si>
  <si>
    <t>CoC Return to LPs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</si>
</sst>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_);_(&quot;$&quot;* \(#,##0\);_(&quot;$&quot;* &quot;-&quot;??_);_(@_)"/>
    <numFmt numFmtId="165" formatCode="&quot;$&quot;#,##0.00"/>
    <numFmt numFmtId="166" formatCode="_(&quot;$&quot;* #,##0.00_);_(&quot;$&quot;* \(#,##0.00\);_(&quot;$&quot;* &quot;-&quot;??_);_(@_)"/>
    <numFmt numFmtId="167" formatCode="0.0%"/>
    <numFmt numFmtId="168" formatCode="m/d/yyyy"/>
  </numFmts>
  <fonts count="14">
    <font>
      <sz val="10.0"/>
      <color rgb="FF000000"/>
      <name val="Arial"/>
      <scheme val="minor"/>
    </font>
    <font>
      <color theme="1"/>
      <name val="Times New Roman"/>
    </font>
    <font>
      <b/>
      <sz val="16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rgb="FF000000"/>
      <name val="Calibri"/>
    </font>
    <font/>
    <font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FF0000"/>
      <name val="Calibri"/>
    </font>
    <font>
      <color theme="1"/>
      <name val="Arial"/>
    </font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</fills>
  <borders count="19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vertical="bottom"/>
    </xf>
    <xf borderId="2" fillId="0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4" fillId="0" fontId="5" numFmtId="3" xfId="0" applyAlignment="1" applyBorder="1" applyFont="1" applyNumberFormat="1">
      <alignment horizontal="center" readingOrder="0" shrinkToFit="0" vertical="bottom" wrapText="0"/>
    </xf>
    <xf borderId="0" fillId="0" fontId="4" numFmtId="37" xfId="0" applyAlignment="1" applyFont="1" applyNumberFormat="1">
      <alignment horizontal="center" vertical="bottom"/>
    </xf>
    <xf borderId="4" fillId="0" fontId="5" numFmtId="165" xfId="0" applyAlignment="1" applyBorder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10" xfId="0" applyAlignment="1" applyFont="1" applyNumberFormat="1">
      <alignment vertical="bottom"/>
    </xf>
    <xf borderId="4" fillId="0" fontId="5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1" numFmtId="166" xfId="0" applyAlignment="1" applyFont="1" applyNumberFormat="1">
      <alignment vertical="bottom"/>
    </xf>
    <xf borderId="0" fillId="0" fontId="4" numFmtId="37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readingOrder="0" vertical="bottom"/>
    </xf>
    <xf borderId="0" fillId="0" fontId="3" numFmtId="9" xfId="0" applyAlignment="1" applyFont="1" applyNumberFormat="1">
      <alignment horizontal="center" vertical="bottom"/>
    </xf>
    <xf borderId="5" fillId="0" fontId="5" numFmtId="165" xfId="0" applyAlignment="1" applyBorder="1" applyFont="1" applyNumberFormat="1">
      <alignment horizontal="center" readingOrder="0" shrinkToFit="0" vertical="bottom" wrapText="0"/>
    </xf>
    <xf borderId="5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center"/>
    </xf>
    <xf borderId="0" fillId="0" fontId="4" numFmtId="164" xfId="0" applyAlignment="1" applyFont="1" applyNumberFormat="1">
      <alignment vertical="bottom"/>
    </xf>
    <xf borderId="0" fillId="0" fontId="3" numFmtId="9" xfId="0" applyAlignment="1" applyFont="1" applyNumberFormat="1">
      <alignment horizontal="center" readingOrder="0" vertical="bottom"/>
    </xf>
    <xf borderId="6" fillId="0" fontId="8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3" fillId="0" fontId="8" numFmtId="3" xfId="0" applyAlignment="1" applyBorder="1" applyFont="1" applyNumberFormat="1">
      <alignment horizontal="right" readingOrder="0" shrinkToFit="0" vertical="bottom" wrapText="0"/>
    </xf>
    <xf borderId="3" fillId="0" fontId="8" numFmtId="165" xfId="0" applyAlignment="1" applyBorder="1" applyFont="1" applyNumberFormat="1">
      <alignment readingOrder="0" shrinkToFit="0" vertical="bottom" wrapText="0"/>
    </xf>
    <xf borderId="0" fillId="0" fontId="3" numFmtId="167" xfId="0" applyAlignment="1" applyFont="1" applyNumberFormat="1">
      <alignment horizontal="center" vertical="bottom"/>
    </xf>
    <xf borderId="3" fillId="0" fontId="8" numFmtId="168" xfId="0" applyAlignment="1" applyBorder="1" applyFont="1" applyNumberFormat="1">
      <alignment horizontal="right" readingOrder="0" shrinkToFit="0" vertical="bottom" wrapText="0"/>
    </xf>
    <xf borderId="3" fillId="0" fontId="8" numFmtId="165" xfId="0" applyAlignment="1" applyBorder="1" applyFont="1" applyNumberFormat="1">
      <alignment horizontal="left" readingOrder="0" shrinkToFit="0" vertical="bottom" wrapText="0"/>
    </xf>
    <xf borderId="2" fillId="0" fontId="8" numFmtId="165" xfId="0" applyAlignment="1" applyBorder="1" applyFont="1" applyNumberFormat="1">
      <alignment horizontal="left" readingOrder="0" shrinkToFit="0" vertical="bottom" wrapText="0"/>
    </xf>
    <xf borderId="0" fillId="0" fontId="4" numFmtId="10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9" numFmtId="49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top"/>
    </xf>
    <xf borderId="3" fillId="0" fontId="8" numFmtId="168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3" fillId="0" fontId="8" numFmtId="165" xfId="0" applyAlignment="1" applyBorder="1" applyFont="1" applyNumberFormat="1">
      <alignment horizontal="left" shrinkToFit="0" vertical="bottom" wrapText="0"/>
    </xf>
    <xf borderId="0" fillId="0" fontId="10" numFmtId="164" xfId="0" applyAlignment="1" applyFont="1" applyNumberFormat="1">
      <alignment horizontal="center" vertical="bottom"/>
    </xf>
    <xf borderId="0" fillId="0" fontId="10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vertical="top"/>
    </xf>
    <xf borderId="0" fillId="0" fontId="10" numFmtId="0" xfId="0" applyAlignment="1" applyFont="1">
      <alignment readingOrder="0" vertical="bottom"/>
    </xf>
    <xf borderId="0" fillId="0" fontId="10" numFmtId="164" xfId="0" applyAlignment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8" fillId="2" fontId="3" numFmtId="0" xfId="0" applyAlignment="1" applyBorder="1" applyFill="1" applyFont="1">
      <alignment vertical="bottom"/>
    </xf>
    <xf borderId="8" fillId="2" fontId="1" numFmtId="3" xfId="0" applyAlignment="1" applyBorder="1" applyFont="1" applyNumberFormat="1">
      <alignment vertical="bottom"/>
    </xf>
    <xf borderId="8" fillId="2" fontId="3" numFmtId="164" xfId="0" applyAlignment="1" applyBorder="1" applyFont="1" applyNumberFormat="1">
      <alignment vertical="bottom"/>
    </xf>
    <xf borderId="6" fillId="0" fontId="5" numFmtId="0" xfId="0" applyAlignment="1" applyBorder="1" applyFont="1">
      <alignment shrinkToFit="0" vertical="bottom" wrapText="0"/>
    </xf>
    <xf borderId="9" fillId="0" fontId="5" numFmtId="3" xfId="0" applyAlignment="1" applyBorder="1" applyFont="1" applyNumberFormat="1">
      <alignment horizontal="right" readingOrder="0" shrinkToFit="0" vertical="bottom" wrapText="0"/>
    </xf>
    <xf borderId="3" fillId="0" fontId="5" numFmtId="165" xfId="0" applyAlignment="1" applyBorder="1" applyFont="1" applyNumberFormat="1">
      <alignment readingOrder="0" shrinkToFit="0" vertical="bottom" wrapText="0"/>
    </xf>
    <xf borderId="9" fillId="0" fontId="5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vertical="bottom"/>
    </xf>
    <xf borderId="0" fillId="0" fontId="11" numFmtId="9" xfId="0" applyAlignment="1" applyFont="1" applyNumberFormat="1">
      <alignment horizontal="center" vertical="bottom"/>
    </xf>
    <xf borderId="9" fillId="0" fontId="5" numFmtId="165" xfId="0" applyAlignment="1" applyBorder="1" applyFont="1" applyNumberFormat="1">
      <alignment readingOrder="0" shrinkToFit="0" vertical="bottom" wrapText="0"/>
    </xf>
    <xf borderId="0" fillId="0" fontId="11" numFmtId="164" xfId="0" applyAlignment="1" applyFont="1" applyNumberFormat="1">
      <alignment vertical="bottom"/>
    </xf>
    <xf borderId="9" fillId="0" fontId="5" numFmtId="165" xfId="0" applyAlignment="1" applyBorder="1" applyFont="1" applyNumberFormat="1">
      <alignment horizontal="right" shrinkToFit="0" vertical="bottom" wrapText="0"/>
    </xf>
    <xf borderId="8" fillId="2" fontId="1" numFmtId="0" xfId="0" applyAlignment="1" applyBorder="1" applyFont="1">
      <alignment vertical="bottom"/>
    </xf>
    <xf borderId="0" fillId="0" fontId="10" numFmtId="164" xfId="0" applyAlignment="1" applyFont="1" applyNumberFormat="1">
      <alignment readingOrder="0" vertical="bottom"/>
    </xf>
    <xf borderId="0" fillId="3" fontId="10" numFmtId="0" xfId="0" applyAlignment="1" applyFill="1" applyFont="1">
      <alignment readingOrder="0" vertical="bottom"/>
    </xf>
    <xf borderId="0" fillId="3" fontId="10" numFmtId="164" xfId="0" applyAlignment="1" applyFont="1" applyNumberFormat="1">
      <alignment horizontal="left" vertical="top"/>
    </xf>
    <xf borderId="0" fillId="0" fontId="10" numFmtId="165" xfId="0" applyAlignment="1" applyFont="1" applyNumberFormat="1">
      <alignment vertical="top"/>
    </xf>
    <xf borderId="0" fillId="0" fontId="10" numFmtId="164" xfId="0" applyAlignment="1" applyFont="1" applyNumberFormat="1">
      <alignment vertical="top"/>
    </xf>
    <xf borderId="0" fillId="3" fontId="10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3" fontId="10" numFmtId="164" xfId="0" applyAlignment="1" applyFont="1" applyNumberFormat="1">
      <alignment readingOrder="0" vertical="bottom"/>
    </xf>
    <xf borderId="0" fillId="0" fontId="10" numFmtId="0" xfId="0" applyAlignment="1" applyFont="1">
      <alignment vertical="top"/>
    </xf>
    <xf borderId="0" fillId="0" fontId="10" numFmtId="165" xfId="0" applyAlignment="1" applyFont="1" applyNumberFormat="1">
      <alignment vertical="top"/>
    </xf>
    <xf borderId="9" fillId="0" fontId="5" numFmtId="0" xfId="0" applyAlignment="1" applyBorder="1" applyFont="1">
      <alignment shrinkToFit="0" vertical="bottom" wrapText="0"/>
    </xf>
    <xf borderId="0" fillId="0" fontId="12" numFmtId="3" xfId="0" applyFont="1" applyNumberFormat="1"/>
    <xf borderId="0" fillId="0" fontId="12" numFmtId="165" xfId="0" applyFont="1" applyNumberFormat="1"/>
    <xf borderId="0" fillId="0" fontId="10" numFmtId="0" xfId="0" applyAlignment="1" applyFont="1">
      <alignment readingOrder="0" vertical="top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12" numFmtId="165" xfId="0" applyAlignment="1" applyFont="1" applyNumberFormat="1">
      <alignment readingOrder="0"/>
    </xf>
    <xf borderId="8" fillId="2" fontId="1" numFmtId="166" xfId="0" applyAlignment="1" applyBorder="1" applyFont="1" applyNumberFormat="1">
      <alignment vertical="bottom"/>
    </xf>
    <xf borderId="0" fillId="0" fontId="8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8" numFmtId="3" xfId="0" applyAlignment="1" applyFont="1" applyNumberFormat="1">
      <alignment horizontal="right" readingOrder="0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horizontal="center" vertical="bottom"/>
    </xf>
    <xf borderId="10" fillId="2" fontId="3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0" fillId="2" fontId="3" numFmtId="164" xfId="0" applyAlignment="1" applyBorder="1" applyFont="1" applyNumberForma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1" numFmtId="9" xfId="0" applyAlignment="1" applyFont="1" applyNumberFormat="1">
      <alignment vertical="bottom"/>
    </xf>
    <xf borderId="11" fillId="0" fontId="3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3" numFmtId="10" xfId="0" applyAlignment="1" applyBorder="1" applyFont="1" applyNumberFormat="1">
      <alignment horizontal="center" vertical="bottom"/>
    </xf>
    <xf borderId="14" fillId="0" fontId="3" numFmtId="0" xfId="0" applyAlignment="1" applyBorder="1" applyFont="1">
      <alignment vertical="bottom"/>
    </xf>
    <xf borderId="15" fillId="0" fontId="3" numFmtId="10" xfId="0" applyAlignment="1" applyBorder="1" applyFont="1" applyNumberFormat="1">
      <alignment horizontal="center" vertical="bottom"/>
    </xf>
    <xf borderId="16" fillId="0" fontId="3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0" fontId="3" numFmtId="4" xfId="0" applyAlignment="1" applyBorder="1" applyFont="1" applyNumberFormat="1">
      <alignment horizontal="center" vertical="bottom"/>
    </xf>
    <xf borderId="0" fillId="4" fontId="13" numFmtId="0" xfId="0" applyAlignment="1" applyFill="1" applyFont="1">
      <alignment vertical="top"/>
    </xf>
    <xf borderId="0" fillId="0" fontId="3" numFmtId="0" xfId="0" applyAlignment="1" applyFont="1">
      <alignment vertical="top"/>
    </xf>
    <xf borderId="0" fillId="0" fontId="3" numFmtId="165" xfId="0" applyAlignment="1" applyFont="1" applyNumberFormat="1">
      <alignment vertical="top"/>
    </xf>
    <xf borderId="0" fillId="5" fontId="3" numFmtId="0" xfId="0" applyAlignment="1" applyFill="1" applyFont="1">
      <alignment vertical="top"/>
    </xf>
    <xf borderId="0" fillId="5" fontId="1" numFmtId="0" xfId="0" applyAlignment="1" applyFont="1">
      <alignment vertical="top"/>
    </xf>
    <xf borderId="0" fillId="5" fontId="3" numFmtId="10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63"/>
    <col customWidth="1" hidden="1" min="2" max="2" width="13.63"/>
    <col hidden="1" min="3" max="4" width="12.63"/>
    <col customWidth="1" min="5" max="5" width="23.63"/>
    <col customWidth="1" min="6" max="6" width="19.5"/>
    <col customWidth="1" min="7" max="7" width="16.88"/>
    <col customWidth="1" min="8" max="8" width="15.88"/>
    <col customWidth="1" min="9" max="9" width="15.13"/>
    <col customWidth="1" min="10" max="10" width="14.88"/>
    <col customWidth="1" min="11" max="11" width="14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/>
      <c r="B3" s="3"/>
      <c r="C3" s="3"/>
      <c r="D3" s="3"/>
      <c r="E3" s="4" t="s">
        <v>1</v>
      </c>
      <c r="F3" s="5" t="s">
        <v>2</v>
      </c>
      <c r="G3" s="3"/>
      <c r="H3" s="3"/>
      <c r="I3" s="3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4" t="s">
        <v>3</v>
      </c>
      <c r="F4" s="10">
        <f>'Rent Roll'!C9</f>
        <v>30704</v>
      </c>
      <c r="G4" s="12"/>
      <c r="H4" s="13"/>
      <c r="I4" s="3"/>
      <c r="J4" s="1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16" t="s">
        <v>17</v>
      </c>
      <c r="F5" s="17">
        <f>F7/F4</f>
        <v>93.63600834</v>
      </c>
      <c r="G5" s="3"/>
      <c r="H5" s="3"/>
      <c r="I5" s="3"/>
      <c r="J5" s="1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4" t="s">
        <v>22</v>
      </c>
      <c r="F6" s="19">
        <v>8.0</v>
      </c>
      <c r="G6" s="3"/>
      <c r="H6" s="3"/>
      <c r="I6" s="3"/>
      <c r="J6" s="1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4" t="s">
        <v>23</v>
      </c>
      <c r="F7" s="20">
        <v>2875000.0</v>
      </c>
      <c r="G7" s="21">
        <f>100%</f>
        <v>1</v>
      </c>
      <c r="H7" s="3"/>
      <c r="I7" s="3"/>
      <c r="J7" s="1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4" t="s">
        <v>24</v>
      </c>
      <c r="F8" s="26">
        <f>G8*F7</f>
        <v>2012500</v>
      </c>
      <c r="G8" s="27">
        <v>0.7</v>
      </c>
      <c r="H8" s="3"/>
      <c r="I8" s="3"/>
      <c r="J8" s="1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4" t="s">
        <v>25</v>
      </c>
      <c r="F9" s="26">
        <f>F7-F8</f>
        <v>862500</v>
      </c>
      <c r="G9" s="21">
        <f>F9/F7</f>
        <v>0.3</v>
      </c>
      <c r="H9" s="3"/>
      <c r="I9" s="3"/>
      <c r="J9" s="1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4" t="s">
        <v>28</v>
      </c>
      <c r="F10" s="20">
        <v>37500.0</v>
      </c>
      <c r="G10" s="32">
        <f>F10/F7</f>
        <v>0.01304347826</v>
      </c>
      <c r="H10" s="3"/>
      <c r="I10" s="3"/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4" t="s">
        <v>29</v>
      </c>
      <c r="F11" s="20">
        <v>260000.0</v>
      </c>
      <c r="G11" s="32">
        <f>F11/F7</f>
        <v>0.09043478261</v>
      </c>
      <c r="H11" s="13"/>
      <c r="I11" s="3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4" t="s">
        <v>30</v>
      </c>
      <c r="F12" s="26">
        <f>SUM(F9:F11)</f>
        <v>1160000</v>
      </c>
      <c r="G12" s="32">
        <f>G7+G10</f>
        <v>1.013043478</v>
      </c>
      <c r="H12" s="3"/>
      <c r="I12" s="3"/>
      <c r="J12" s="1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16" t="s">
        <v>24</v>
      </c>
      <c r="F13" s="36">
        <v>0.065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16" t="s">
        <v>34</v>
      </c>
      <c r="F14" s="37">
        <v>25.0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4" t="s">
        <v>36</v>
      </c>
      <c r="F17" s="3"/>
      <c r="G17" s="38" t="s">
        <v>37</v>
      </c>
      <c r="H17" s="39" t="s">
        <v>16</v>
      </c>
      <c r="I17" s="40" t="s">
        <v>18</v>
      </c>
      <c r="J17" s="40" t="s">
        <v>19</v>
      </c>
      <c r="K17" s="40" t="s">
        <v>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3"/>
      <c r="F18" s="3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42" t="s">
        <v>7</v>
      </c>
      <c r="F19" s="43"/>
      <c r="G19" s="45">
        <f>'Rent Roll'!D9</f>
        <v>283204.04</v>
      </c>
      <c r="H19" s="45">
        <f>'Rent Roll'!L9</f>
        <v>287955.4</v>
      </c>
      <c r="I19" s="45">
        <f>'Rent Roll'!M9</f>
        <v>292737.28</v>
      </c>
      <c r="J19" s="45">
        <f>'Rent Roll'!N9</f>
        <v>299890.9152</v>
      </c>
      <c r="K19" s="45">
        <f>'Rent Roll'!O9</f>
        <v>304281.7751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42" t="s">
        <v>41</v>
      </c>
      <c r="F20" s="43"/>
      <c r="G20" s="46">
        <f>2.79*F4</f>
        <v>85664.16</v>
      </c>
      <c r="H20" s="45">
        <f>1.68*F4</f>
        <v>51582.72</v>
      </c>
      <c r="I20" s="45">
        <f t="shared" ref="I20:K20" si="1">H20*1.03</f>
        <v>53130.2016</v>
      </c>
      <c r="J20" s="45">
        <f t="shared" si="1"/>
        <v>54724.10765</v>
      </c>
      <c r="K20" s="45">
        <f t="shared" si="1"/>
        <v>56365.83088</v>
      </c>
      <c r="L20" s="1"/>
      <c r="M20" s="4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48" t="s">
        <v>42</v>
      </c>
      <c r="F21" s="43"/>
      <c r="G21" s="49"/>
      <c r="H21" s="49">
        <f>2.61*F4</f>
        <v>80137.44</v>
      </c>
      <c r="I21" s="49">
        <f t="shared" ref="I21:I22" si="2">H21*1.03</f>
        <v>82541.5632</v>
      </c>
      <c r="J21" s="49">
        <f>H21</f>
        <v>80137.44</v>
      </c>
      <c r="K21" s="49">
        <f>H21</f>
        <v>80137.44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48" t="s">
        <v>46</v>
      </c>
      <c r="F22" s="43"/>
      <c r="G22" s="49"/>
      <c r="H22" s="49">
        <f>0.39*F4</f>
        <v>11974.56</v>
      </c>
      <c r="I22" s="49">
        <f t="shared" si="2"/>
        <v>12333.7968</v>
      </c>
      <c r="J22" s="49">
        <f t="shared" ref="J22:K22" si="3">I22*1.03</f>
        <v>12703.8107</v>
      </c>
      <c r="K22" s="49">
        <f t="shared" si="3"/>
        <v>13084.92503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3"/>
      <c r="F23" s="43"/>
      <c r="G23" s="6"/>
      <c r="H23" s="50"/>
      <c r="I23" s="50"/>
      <c r="J23" s="6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51" t="s">
        <v>50</v>
      </c>
      <c r="F24" s="52"/>
      <c r="G24" s="53">
        <f>SUM(G19:G22)</f>
        <v>368868.2</v>
      </c>
      <c r="H24" s="53">
        <f t="shared" ref="H24:I24" si="4">SUM(H19:H23)</f>
        <v>431650.12</v>
      </c>
      <c r="I24" s="53">
        <f t="shared" si="4"/>
        <v>440742.8416</v>
      </c>
      <c r="J24" s="53">
        <f t="shared" ref="J24:K24" si="5">SUM(J19:J22)</f>
        <v>447456.2736</v>
      </c>
      <c r="K24" s="53">
        <f t="shared" si="5"/>
        <v>453869.971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3"/>
      <c r="F25" s="3"/>
      <c r="G25" s="3"/>
      <c r="H25" s="3"/>
      <c r="I25" s="3"/>
      <c r="J25" s="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58" t="s">
        <v>53</v>
      </c>
      <c r="F26" s="59">
        <v>0.05</v>
      </c>
      <c r="G26" s="61">
        <f t="shared" ref="G26:K26" si="6">G24*$F$26*-1</f>
        <v>-18443.41</v>
      </c>
      <c r="H26" s="61">
        <f t="shared" si="6"/>
        <v>-21582.506</v>
      </c>
      <c r="I26" s="61">
        <f t="shared" si="6"/>
        <v>-22037.14208</v>
      </c>
      <c r="J26" s="61">
        <f t="shared" si="6"/>
        <v>-22372.81368</v>
      </c>
      <c r="K26" s="61">
        <f t="shared" si="6"/>
        <v>-22693.49855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3"/>
      <c r="F27" s="3"/>
      <c r="G27" s="18"/>
      <c r="H27" s="18"/>
      <c r="I27" s="18"/>
      <c r="J27" s="18"/>
      <c r="K27" s="1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51" t="s">
        <v>54</v>
      </c>
      <c r="F28" s="63"/>
      <c r="G28" s="53">
        <f t="shared" ref="G28:K28" si="7">G24+G26</f>
        <v>350424.79</v>
      </c>
      <c r="H28" s="53">
        <f t="shared" si="7"/>
        <v>410067.614</v>
      </c>
      <c r="I28" s="53">
        <f t="shared" si="7"/>
        <v>418705.6995</v>
      </c>
      <c r="J28" s="53">
        <f t="shared" si="7"/>
        <v>425083.4599</v>
      </c>
      <c r="K28" s="53">
        <f t="shared" si="7"/>
        <v>431176.4724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3"/>
      <c r="F29" s="3"/>
      <c r="G29" s="3"/>
      <c r="H29" s="3"/>
      <c r="I29" s="3"/>
      <c r="J29" s="3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4" t="s">
        <v>55</v>
      </c>
      <c r="F30" s="3"/>
      <c r="G30" s="3"/>
      <c r="H30" s="3"/>
      <c r="I30" s="3"/>
      <c r="J30" s="3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3"/>
      <c r="F31" s="3"/>
      <c r="G31" s="3"/>
      <c r="H31" s="3"/>
      <c r="I31" s="3"/>
      <c r="J31" s="3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42" t="s">
        <v>56</v>
      </c>
      <c r="F32" s="3"/>
      <c r="G32" s="64">
        <v>1000.0</v>
      </c>
      <c r="H32" s="49">
        <v>1000.0</v>
      </c>
      <c r="I32" s="49">
        <v>1000.0</v>
      </c>
      <c r="J32" s="49">
        <v>1000.0</v>
      </c>
      <c r="K32" s="49">
        <v>1000.0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42" t="s">
        <v>57</v>
      </c>
      <c r="F33" s="3"/>
      <c r="G33" s="49">
        <v>1200.0</v>
      </c>
      <c r="H33" s="49">
        <v>1200.0</v>
      </c>
      <c r="I33" s="49">
        <v>1200.0</v>
      </c>
      <c r="J33" s="49">
        <v>1200.0</v>
      </c>
      <c r="K33" s="49">
        <v>1200.0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65" t="s">
        <v>58</v>
      </c>
      <c r="F34" s="3"/>
      <c r="G34" s="49">
        <f t="shared" ref="G34:K34" si="8">G28*0.05</f>
        <v>17521.2395</v>
      </c>
      <c r="H34" s="49">
        <f t="shared" si="8"/>
        <v>20503.3807</v>
      </c>
      <c r="I34" s="49">
        <f t="shared" si="8"/>
        <v>20935.28498</v>
      </c>
      <c r="J34" s="49">
        <f t="shared" si="8"/>
        <v>21254.17299</v>
      </c>
      <c r="K34" s="49">
        <f t="shared" si="8"/>
        <v>21558.82362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65" t="s">
        <v>59</v>
      </c>
      <c r="F35" s="3"/>
      <c r="G35" s="49">
        <f t="shared" ref="G35:K35" si="9">G28*0.02</f>
        <v>7008.4958</v>
      </c>
      <c r="H35" s="49">
        <f t="shared" si="9"/>
        <v>8201.35228</v>
      </c>
      <c r="I35" s="49">
        <f t="shared" si="9"/>
        <v>8374.11399</v>
      </c>
      <c r="J35" s="49">
        <f t="shared" si="9"/>
        <v>8501.669197</v>
      </c>
      <c r="K35" s="49">
        <f t="shared" si="9"/>
        <v>8623.529448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6"/>
      <c r="B36" s="66" t="s">
        <v>60</v>
      </c>
      <c r="C36" s="67">
        <f t="shared" ref="C36:D36" si="10">G41+G42+G38+G39+G40+G34</f>
        <v>46721.2395</v>
      </c>
      <c r="D36" s="68">
        <f t="shared" si="10"/>
        <v>50579.3807</v>
      </c>
      <c r="E36" s="69" t="s">
        <v>61</v>
      </c>
      <c r="F36" s="70"/>
      <c r="G36" s="71">
        <v>26120.0</v>
      </c>
      <c r="H36" s="64">
        <v>80233.0</v>
      </c>
      <c r="I36" s="49">
        <f t="shared" ref="I36:K36" si="11">H36*1.03</f>
        <v>82639.99</v>
      </c>
      <c r="J36" s="49">
        <f t="shared" si="11"/>
        <v>85119.1897</v>
      </c>
      <c r="K36" s="49">
        <f t="shared" si="11"/>
        <v>87672.76539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2"/>
      <c r="B37" s="72" t="s">
        <v>62</v>
      </c>
      <c r="C37" s="67">
        <f>C36/F4</f>
        <v>1.521666216</v>
      </c>
      <c r="D37" s="73">
        <f>D36/F4</f>
        <v>1.647322196</v>
      </c>
      <c r="E37" s="69" t="s">
        <v>46</v>
      </c>
      <c r="F37" s="3"/>
      <c r="G37" s="71">
        <v>12000.0</v>
      </c>
      <c r="H37" s="49">
        <f t="shared" ref="H37:K37" si="12">G37*1.03</f>
        <v>12360</v>
      </c>
      <c r="I37" s="49">
        <f t="shared" si="12"/>
        <v>12730.8</v>
      </c>
      <c r="J37" s="49">
        <f t="shared" si="12"/>
        <v>13112.724</v>
      </c>
      <c r="K37" s="49">
        <f t="shared" si="12"/>
        <v>13506.10572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7"/>
      <c r="B38" s="67" t="s">
        <v>63</v>
      </c>
      <c r="C38" s="67">
        <f t="shared" ref="C38:D38" si="13">G36</f>
        <v>26120</v>
      </c>
      <c r="D38" s="68">
        <f t="shared" si="13"/>
        <v>80233</v>
      </c>
      <c r="E38" s="69" t="s">
        <v>64</v>
      </c>
      <c r="F38" s="3"/>
      <c r="G38" s="49">
        <f>350*12</f>
        <v>4200</v>
      </c>
      <c r="H38" s="49">
        <f t="shared" ref="H38:K38" si="14">G38*1.03</f>
        <v>4326</v>
      </c>
      <c r="I38" s="49">
        <f t="shared" si="14"/>
        <v>4455.78</v>
      </c>
      <c r="J38" s="49">
        <f t="shared" si="14"/>
        <v>4589.4534</v>
      </c>
      <c r="K38" s="49">
        <f t="shared" si="14"/>
        <v>4727.137002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7"/>
      <c r="B39" s="67" t="s">
        <v>65</v>
      </c>
      <c r="C39" s="67">
        <f>C38/F4</f>
        <v>0.8507034914</v>
      </c>
      <c r="D39" s="73">
        <f>D38/F4</f>
        <v>2.613112298</v>
      </c>
      <c r="E39" s="69" t="s">
        <v>66</v>
      </c>
      <c r="F39" s="3"/>
      <c r="G39" s="64">
        <v>0.0</v>
      </c>
      <c r="H39" s="64">
        <v>0.0</v>
      </c>
      <c r="I39" s="64">
        <v>0.0</v>
      </c>
      <c r="J39" s="64">
        <v>0.0</v>
      </c>
      <c r="K39" s="64">
        <v>0.0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7"/>
      <c r="B40" s="67"/>
      <c r="C40" s="67"/>
      <c r="D40" s="72"/>
      <c r="E40" s="69" t="s">
        <v>67</v>
      </c>
      <c r="F40" s="3"/>
      <c r="G40" s="64">
        <v>0.0</v>
      </c>
      <c r="H40" s="49">
        <v>0.0</v>
      </c>
      <c r="I40" s="49">
        <v>0.0</v>
      </c>
      <c r="J40" s="49">
        <v>0.0</v>
      </c>
      <c r="K40" s="49">
        <v>0.0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7"/>
      <c r="B41" s="67" t="s">
        <v>46</v>
      </c>
      <c r="C41" s="67">
        <f>G37</f>
        <v>12000</v>
      </c>
      <c r="D41" s="72"/>
      <c r="E41" s="69" t="s">
        <v>68</v>
      </c>
      <c r="F41" s="6"/>
      <c r="G41" s="64">
        <v>15000.0</v>
      </c>
      <c r="H41" s="49">
        <f t="shared" ref="H41:K41" si="15">G41*1.03</f>
        <v>15450</v>
      </c>
      <c r="I41" s="49">
        <f t="shared" si="15"/>
        <v>15913.5</v>
      </c>
      <c r="J41" s="49">
        <f t="shared" si="15"/>
        <v>16390.905</v>
      </c>
      <c r="K41" s="49">
        <f t="shared" si="15"/>
        <v>16882.63215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7"/>
      <c r="B42" s="67" t="s">
        <v>69</v>
      </c>
      <c r="C42" s="67">
        <f>C41/F4</f>
        <v>0.3908285565</v>
      </c>
      <c r="D42" s="73">
        <f>C42*1.03</f>
        <v>0.4025534132</v>
      </c>
      <c r="E42" s="69" t="s">
        <v>70</v>
      </c>
      <c r="F42" s="3"/>
      <c r="G42" s="64">
        <v>10000.0</v>
      </c>
      <c r="H42" s="49">
        <f t="shared" ref="H42:K42" si="16">G42*1.03</f>
        <v>10300</v>
      </c>
      <c r="I42" s="49">
        <f t="shared" si="16"/>
        <v>10609</v>
      </c>
      <c r="J42" s="49">
        <f t="shared" si="16"/>
        <v>10927.27</v>
      </c>
      <c r="K42" s="49">
        <f t="shared" si="16"/>
        <v>11255.0881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2"/>
      <c r="B43" s="72"/>
      <c r="C43" s="72"/>
      <c r="D43" s="72"/>
      <c r="E43" s="42"/>
      <c r="F43" s="3"/>
      <c r="G43" s="49"/>
      <c r="H43" s="49"/>
      <c r="I43" s="49"/>
      <c r="J43" s="49"/>
      <c r="K43" s="4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7"/>
      <c r="B44" s="77" t="s">
        <v>71</v>
      </c>
      <c r="C44" s="67">
        <f>C37+C39+C42</f>
        <v>2.763198264</v>
      </c>
      <c r="D44" s="73">
        <f>D42+D39+D37</f>
        <v>4.662987907</v>
      </c>
      <c r="E44" s="3"/>
      <c r="F44" s="3"/>
      <c r="G44" s="3"/>
      <c r="H44" s="3"/>
      <c r="I44" s="3"/>
      <c r="J44" s="3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51" t="s">
        <v>72</v>
      </c>
      <c r="F45" s="82"/>
      <c r="G45" s="53">
        <f t="shared" ref="G45:K45" si="17">SUM(G32:G43)</f>
        <v>94049.7353</v>
      </c>
      <c r="H45" s="53">
        <f t="shared" si="17"/>
        <v>153573.733</v>
      </c>
      <c r="I45" s="53">
        <f t="shared" si="17"/>
        <v>157858.469</v>
      </c>
      <c r="J45" s="53">
        <f t="shared" si="17"/>
        <v>162095.3843</v>
      </c>
      <c r="K45" s="53">
        <f t="shared" si="17"/>
        <v>166426.0814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3"/>
      <c r="F46" s="3"/>
      <c r="G46" s="6"/>
      <c r="H46" s="6"/>
      <c r="I46" s="6"/>
      <c r="J46" s="6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51" t="s">
        <v>73</v>
      </c>
      <c r="F47" s="63"/>
      <c r="G47" s="53">
        <f t="shared" ref="G47:K47" si="18">G28-G45</f>
        <v>256375.0547</v>
      </c>
      <c r="H47" s="53">
        <f t="shared" si="18"/>
        <v>256493.881</v>
      </c>
      <c r="I47" s="53">
        <f t="shared" si="18"/>
        <v>260847.2306</v>
      </c>
      <c r="J47" s="53">
        <f t="shared" si="18"/>
        <v>262988.0756</v>
      </c>
      <c r="K47" s="53">
        <f t="shared" si="18"/>
        <v>264750.391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3"/>
      <c r="F48" s="3"/>
      <c r="G48" s="6"/>
      <c r="H48" s="6"/>
      <c r="I48" s="6"/>
      <c r="J48" s="6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42" t="s">
        <v>74</v>
      </c>
      <c r="F49" s="3"/>
      <c r="G49" s="87">
        <f>PMT(F13,F14,F8,0)</f>
        <v>-164987.7307</v>
      </c>
      <c r="H49" s="87">
        <f t="shared" ref="H49:K49" si="19">G49</f>
        <v>-164987.7307</v>
      </c>
      <c r="I49" s="87">
        <f t="shared" si="19"/>
        <v>-164987.7307</v>
      </c>
      <c r="J49" s="87">
        <f t="shared" si="19"/>
        <v>-164987.7307</v>
      </c>
      <c r="K49" s="87">
        <f t="shared" si="19"/>
        <v>-164987.7307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3"/>
      <c r="F50" s="3"/>
      <c r="G50" s="6"/>
      <c r="H50" s="6"/>
      <c r="I50" s="6"/>
      <c r="J50" s="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88" t="s">
        <v>75</v>
      </c>
      <c r="F51" s="89"/>
      <c r="G51" s="90">
        <f t="shared" ref="G51:K51" si="20">SUM(G47:G49)</f>
        <v>91387.32402</v>
      </c>
      <c r="H51" s="90">
        <f t="shared" si="20"/>
        <v>91506.15034</v>
      </c>
      <c r="I51" s="90">
        <f t="shared" si="20"/>
        <v>95859.49987</v>
      </c>
      <c r="J51" s="90">
        <f t="shared" si="20"/>
        <v>98000.3449</v>
      </c>
      <c r="K51" s="90">
        <f t="shared" si="20"/>
        <v>99762.6603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3"/>
      <c r="F52" s="3"/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3"/>
      <c r="F53" s="3"/>
      <c r="G53" s="9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93" t="s">
        <v>76</v>
      </c>
      <c r="F54" s="94"/>
      <c r="G54" s="95">
        <f>G47/(F7+F10)</f>
        <v>0.08802576985</v>
      </c>
      <c r="H54" s="95">
        <f t="shared" ref="H54:K54" si="21">H47/($F$7+$F$10)</f>
        <v>0.08806656859</v>
      </c>
      <c r="I54" s="95">
        <f t="shared" si="21"/>
        <v>0.08956128088</v>
      </c>
      <c r="J54" s="95">
        <f t="shared" si="21"/>
        <v>0.09029633496</v>
      </c>
      <c r="K54" s="95">
        <f t="shared" si="21"/>
        <v>0.0909014218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96" t="s">
        <v>77</v>
      </c>
      <c r="F55" s="3"/>
      <c r="G55" s="97">
        <f t="shared" ref="G55:K55" si="22">G51/($F$12)</f>
        <v>0.07878217588</v>
      </c>
      <c r="H55" s="97">
        <f t="shared" si="22"/>
        <v>0.07888461236</v>
      </c>
      <c r="I55" s="97">
        <f t="shared" si="22"/>
        <v>0.08263749989</v>
      </c>
      <c r="J55" s="97">
        <f t="shared" si="22"/>
        <v>0.08448305595</v>
      </c>
      <c r="K55" s="97">
        <f t="shared" si="22"/>
        <v>0.08600229336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98" t="s">
        <v>78</v>
      </c>
      <c r="F56" s="99"/>
      <c r="G56" s="100">
        <f t="shared" ref="G56:K56" si="23">-G47/G49</f>
        <v>1.553903758</v>
      </c>
      <c r="H56" s="100">
        <f t="shared" si="23"/>
        <v>1.554623971</v>
      </c>
      <c r="I56" s="100">
        <f t="shared" si="23"/>
        <v>1.581009869</v>
      </c>
      <c r="J56" s="100">
        <f t="shared" si="23"/>
        <v>1.593985653</v>
      </c>
      <c r="K56" s="100">
        <f t="shared" si="23"/>
        <v>1.604667146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01" t="s">
        <v>79</v>
      </c>
      <c r="F59" s="101" t="s">
        <v>80</v>
      </c>
      <c r="G59" s="101" t="s">
        <v>15</v>
      </c>
      <c r="H59" s="101" t="s">
        <v>81</v>
      </c>
      <c r="I59" s="101" t="s">
        <v>82</v>
      </c>
      <c r="J59" s="101" t="s">
        <v>83</v>
      </c>
      <c r="K59" s="101" t="s">
        <v>84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02" t="s">
        <v>85</v>
      </c>
      <c r="F60" s="103">
        <f>F12*0.07</f>
        <v>81200</v>
      </c>
      <c r="G60" s="103">
        <f t="shared" ref="G60:K60" si="24">$F$60+((G51-$F$60)*0.5)</f>
        <v>86293.66201</v>
      </c>
      <c r="H60" s="103">
        <f t="shared" si="24"/>
        <v>86353.07517</v>
      </c>
      <c r="I60" s="103">
        <f t="shared" si="24"/>
        <v>88529.74994</v>
      </c>
      <c r="J60" s="103">
        <f t="shared" si="24"/>
        <v>89600.17245</v>
      </c>
      <c r="K60" s="103">
        <f t="shared" si="24"/>
        <v>90481.33015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02" t="s">
        <v>86</v>
      </c>
      <c r="F61" s="103">
        <v>0.0</v>
      </c>
      <c r="G61" s="103">
        <f t="shared" ref="G61:K61" si="25">(G51-$F$60)*0.5</f>
        <v>5093.662009</v>
      </c>
      <c r="H61" s="103">
        <f t="shared" si="25"/>
        <v>5153.075169</v>
      </c>
      <c r="I61" s="103">
        <f t="shared" si="25"/>
        <v>7329.749936</v>
      </c>
      <c r="J61" s="103">
        <f t="shared" si="25"/>
        <v>8400.172451</v>
      </c>
      <c r="K61" s="103">
        <f t="shared" si="25"/>
        <v>9281.330149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02" t="s">
        <v>87</v>
      </c>
      <c r="F62" s="1"/>
      <c r="G62" s="103">
        <f t="shared" ref="G62:K62" si="26">SUM(G60:G61)</f>
        <v>91387.32402</v>
      </c>
      <c r="H62" s="103">
        <f t="shared" si="26"/>
        <v>91506.15034</v>
      </c>
      <c r="I62" s="103">
        <f t="shared" si="26"/>
        <v>95859.49987</v>
      </c>
      <c r="J62" s="103">
        <f t="shared" si="26"/>
        <v>98000.3449</v>
      </c>
      <c r="K62" s="103">
        <f t="shared" si="26"/>
        <v>99762.6603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04" t="s">
        <v>88</v>
      </c>
      <c r="F64" s="105"/>
      <c r="G64" s="106">
        <f t="shared" ref="G64:K64" si="27">G60/$F$12</f>
        <v>0.07439108794</v>
      </c>
      <c r="H64" s="106">
        <f t="shared" si="27"/>
        <v>0.07444230618</v>
      </c>
      <c r="I64" s="106">
        <f t="shared" si="27"/>
        <v>0.07631874994</v>
      </c>
      <c r="J64" s="106">
        <f t="shared" si="27"/>
        <v>0.07724152797</v>
      </c>
      <c r="K64" s="106">
        <f t="shared" si="27"/>
        <v>0.07800114668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5"/>
    <col customWidth="1" min="6" max="6" width="16.88"/>
    <col customWidth="1" min="7" max="7" width="11.25"/>
    <col customWidth="1" min="10" max="10" width="9.38"/>
    <col customWidth="1" min="11" max="11" width="9.88"/>
    <col customWidth="1" min="25" max="25" width="24.13"/>
    <col customWidth="1" min="26" max="26" width="16.88"/>
  </cols>
  <sheetData>
    <row r="1">
      <c r="A1" s="2" t="s">
        <v>0</v>
      </c>
    </row>
    <row r="2">
      <c r="A2" s="7" t="s">
        <v>4</v>
      </c>
      <c r="B2" s="8" t="s">
        <v>5</v>
      </c>
      <c r="C2" s="9" t="s">
        <v>6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5" t="s">
        <v>15</v>
      </c>
      <c r="M2" s="15" t="s">
        <v>16</v>
      </c>
      <c r="N2" s="15" t="s">
        <v>18</v>
      </c>
      <c r="O2" s="15" t="s">
        <v>19</v>
      </c>
      <c r="P2" s="15" t="s">
        <v>20</v>
      </c>
      <c r="Q2" s="22" t="s">
        <v>21</v>
      </c>
      <c r="R2" s="23"/>
      <c r="S2" s="23"/>
      <c r="T2" s="23"/>
      <c r="U2" s="23"/>
      <c r="V2" s="23"/>
      <c r="W2" s="24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>
      <c r="A3" s="28" t="s">
        <v>26</v>
      </c>
      <c r="B3" s="29" t="s">
        <v>27</v>
      </c>
      <c r="C3" s="30">
        <v>9152.0</v>
      </c>
      <c r="D3" s="31">
        <v>57200.0</v>
      </c>
      <c r="E3" s="31">
        <f>D3/C3</f>
        <v>6.25</v>
      </c>
      <c r="F3" s="31">
        <v>28688.88</v>
      </c>
      <c r="G3" s="31">
        <f t="shared" ref="G3:G9" si="1">F3/C3</f>
        <v>3.134711538</v>
      </c>
      <c r="H3" s="31">
        <f t="shared" ref="H3:H8" si="2">D3+F3</f>
        <v>85888.88</v>
      </c>
      <c r="I3" s="31">
        <f t="shared" ref="I3:I8" si="3">H3/12</f>
        <v>7157.406667</v>
      </c>
      <c r="J3" s="33">
        <v>44562.0</v>
      </c>
      <c r="K3" s="33">
        <v>48213.0</v>
      </c>
      <c r="L3" s="34">
        <f>(E3+0.25)*C3</f>
        <v>59488</v>
      </c>
      <c r="M3" s="34">
        <f>L3</f>
        <v>59488</v>
      </c>
      <c r="N3" s="34">
        <f>(E3+0.25+0.25)*C3</f>
        <v>61776</v>
      </c>
      <c r="O3" s="34">
        <f>(E3+0.25+0.25)*C3</f>
        <v>61776</v>
      </c>
      <c r="P3" s="34">
        <f>(E3+0.25+0.25+0.25)*C3</f>
        <v>64064</v>
      </c>
      <c r="Q3" s="35" t="s">
        <v>31</v>
      </c>
      <c r="R3" s="23"/>
      <c r="S3" s="23"/>
      <c r="T3" s="23"/>
      <c r="U3" s="23"/>
      <c r="V3" s="23"/>
      <c r="W3" s="24"/>
    </row>
    <row r="4">
      <c r="A4" s="28" t="s">
        <v>32</v>
      </c>
      <c r="B4" s="29" t="s">
        <v>33</v>
      </c>
      <c r="C4" s="30">
        <v>12000.0</v>
      </c>
      <c r="D4" s="31">
        <f>8916.67*12</f>
        <v>107000.04</v>
      </c>
      <c r="E4" s="31">
        <f>D4/(C4)</f>
        <v>8.91667</v>
      </c>
      <c r="F4" s="31">
        <v>25077.72</v>
      </c>
      <c r="G4" s="31">
        <f t="shared" si="1"/>
        <v>2.08981</v>
      </c>
      <c r="H4" s="31">
        <f t="shared" si="2"/>
        <v>132077.76</v>
      </c>
      <c r="I4" s="31">
        <f t="shared" si="3"/>
        <v>11006.48</v>
      </c>
      <c r="J4" s="33">
        <v>45901.0</v>
      </c>
      <c r="K4" s="33">
        <v>47817.0</v>
      </c>
      <c r="L4" s="34">
        <f>9083.34*12</f>
        <v>109000.08</v>
      </c>
      <c r="M4" s="34">
        <f>9250*12</f>
        <v>111000</v>
      </c>
      <c r="N4" s="34">
        <f>9416.67*12</f>
        <v>113000.04</v>
      </c>
      <c r="O4" s="34">
        <f>9583.34*12</f>
        <v>115000.08</v>
      </c>
      <c r="P4" s="34">
        <f>O4*1.03</f>
        <v>118450.0824</v>
      </c>
      <c r="Q4" s="35" t="s">
        <v>35</v>
      </c>
      <c r="R4" s="23"/>
      <c r="S4" s="23"/>
      <c r="T4" s="23"/>
      <c r="U4" s="23"/>
      <c r="V4" s="23"/>
      <c r="W4" s="24"/>
    </row>
    <row r="5">
      <c r="A5" s="28">
        <v>128.0</v>
      </c>
      <c r="B5" s="29" t="s">
        <v>38</v>
      </c>
      <c r="C5" s="30">
        <v>1200.0</v>
      </c>
      <c r="D5" s="31">
        <v>15444.0</v>
      </c>
      <c r="E5" s="31">
        <f t="shared" ref="E5:E8" si="5">D5/C5</f>
        <v>12.87</v>
      </c>
      <c r="F5" s="31">
        <v>3756.0</v>
      </c>
      <c r="G5" s="31">
        <f t="shared" si="1"/>
        <v>3.13</v>
      </c>
      <c r="H5" s="31">
        <f t="shared" si="2"/>
        <v>19200</v>
      </c>
      <c r="I5" s="31">
        <f t="shared" si="3"/>
        <v>1600</v>
      </c>
      <c r="J5" s="41">
        <v>46113.0</v>
      </c>
      <c r="K5" s="33">
        <v>47208.0</v>
      </c>
      <c r="L5" s="44">
        <f>1325.61*12</f>
        <v>15907.32</v>
      </c>
      <c r="M5" s="34">
        <f>1365.38*12</f>
        <v>16384.56</v>
      </c>
      <c r="N5" s="44">
        <f t="shared" ref="N5:P5" si="4">M5*1.03</f>
        <v>16876.0968</v>
      </c>
      <c r="O5" s="44">
        <f t="shared" si="4"/>
        <v>17382.3797</v>
      </c>
      <c r="P5" s="44">
        <f t="shared" si="4"/>
        <v>17903.8511</v>
      </c>
      <c r="Q5" s="35" t="s">
        <v>39</v>
      </c>
      <c r="R5" s="23"/>
      <c r="S5" s="23"/>
      <c r="T5" s="23"/>
      <c r="U5" s="23"/>
      <c r="V5" s="23"/>
      <c r="W5" s="24"/>
    </row>
    <row r="6">
      <c r="A6" s="28">
        <v>124.0</v>
      </c>
      <c r="B6" s="29" t="s">
        <v>40</v>
      </c>
      <c r="C6" s="30">
        <v>2376.0</v>
      </c>
      <c r="D6" s="31">
        <v>26730.0</v>
      </c>
      <c r="E6" s="31">
        <f t="shared" si="5"/>
        <v>11.25</v>
      </c>
      <c r="F6" s="31">
        <v>7448.04</v>
      </c>
      <c r="G6" s="31">
        <f t="shared" si="1"/>
        <v>3.13469697</v>
      </c>
      <c r="H6" s="31">
        <f t="shared" si="2"/>
        <v>34178.04</v>
      </c>
      <c r="I6" s="31">
        <f t="shared" si="3"/>
        <v>2848.17</v>
      </c>
      <c r="J6" s="33">
        <v>40909.0</v>
      </c>
      <c r="K6" s="33">
        <v>47848.0</v>
      </c>
      <c r="L6" s="34">
        <f t="shared" ref="L6:L7" si="6">E6*C6</f>
        <v>26730</v>
      </c>
      <c r="M6" s="34">
        <f>D6</f>
        <v>26730</v>
      </c>
      <c r="N6" s="34">
        <f>D6</f>
        <v>26730</v>
      </c>
      <c r="O6" s="34">
        <f>D6</f>
        <v>26730</v>
      </c>
      <c r="P6" s="34">
        <f>O6*1.03</f>
        <v>27531.9</v>
      </c>
      <c r="Q6" s="35" t="s">
        <v>43</v>
      </c>
      <c r="R6" s="23"/>
      <c r="S6" s="23"/>
      <c r="T6" s="23"/>
      <c r="U6" s="23"/>
      <c r="V6" s="23"/>
      <c r="W6" s="24"/>
    </row>
    <row r="7">
      <c r="A7" s="28" t="s">
        <v>44</v>
      </c>
      <c r="B7" s="29" t="s">
        <v>45</v>
      </c>
      <c r="C7" s="30">
        <v>1776.0</v>
      </c>
      <c r="D7" s="31">
        <v>23976.0</v>
      </c>
      <c r="E7" s="31">
        <f t="shared" si="5"/>
        <v>13.5</v>
      </c>
      <c r="F7" s="31">
        <v>5567.16</v>
      </c>
      <c r="G7" s="31">
        <f t="shared" si="1"/>
        <v>3.134662162</v>
      </c>
      <c r="H7" s="31">
        <f t="shared" si="2"/>
        <v>29543.16</v>
      </c>
      <c r="I7" s="31">
        <f t="shared" si="3"/>
        <v>2461.93</v>
      </c>
      <c r="J7" s="33">
        <v>44835.0</v>
      </c>
      <c r="K7" s="33">
        <v>47118.0</v>
      </c>
      <c r="L7" s="34">
        <f t="shared" si="6"/>
        <v>23976</v>
      </c>
      <c r="M7" s="34">
        <f t="shared" ref="M7:P7" si="7">L7*1.03</f>
        <v>24695.28</v>
      </c>
      <c r="N7" s="34">
        <f t="shared" si="7"/>
        <v>25436.1384</v>
      </c>
      <c r="O7" s="34">
        <f t="shared" si="7"/>
        <v>26199.22255</v>
      </c>
      <c r="P7" s="34">
        <f t="shared" si="7"/>
        <v>26985.19923</v>
      </c>
      <c r="Q7" s="35" t="s">
        <v>47</v>
      </c>
      <c r="R7" s="23"/>
      <c r="S7" s="23"/>
      <c r="T7" s="23"/>
      <c r="U7" s="23"/>
      <c r="V7" s="23"/>
      <c r="W7" s="24"/>
    </row>
    <row r="8">
      <c r="A8" s="28" t="s">
        <v>48</v>
      </c>
      <c r="B8" s="29" t="s">
        <v>49</v>
      </c>
      <c r="C8" s="30">
        <v>4200.0</v>
      </c>
      <c r="D8" s="31">
        <v>52854.0</v>
      </c>
      <c r="E8" s="31">
        <f t="shared" si="5"/>
        <v>12.58428571</v>
      </c>
      <c r="F8" s="31">
        <v>13146.0</v>
      </c>
      <c r="G8" s="31">
        <f t="shared" si="1"/>
        <v>3.13</v>
      </c>
      <c r="H8" s="31">
        <f t="shared" si="2"/>
        <v>66000</v>
      </c>
      <c r="I8" s="31">
        <f t="shared" si="3"/>
        <v>5500</v>
      </c>
      <c r="J8" s="33">
        <v>46235.0</v>
      </c>
      <c r="K8" s="33">
        <v>47422.0</v>
      </c>
      <c r="L8" s="34">
        <f>D8</f>
        <v>52854</v>
      </c>
      <c r="M8" s="34">
        <f>54439.44</f>
        <v>54439.44</v>
      </c>
      <c r="N8" s="34">
        <v>56072.64</v>
      </c>
      <c r="O8" s="34">
        <f t="shared" ref="O8:P8" si="8">N8*1.02</f>
        <v>57194.0928</v>
      </c>
      <c r="P8" s="34">
        <f t="shared" si="8"/>
        <v>58337.97466</v>
      </c>
      <c r="Q8" s="35" t="s">
        <v>51</v>
      </c>
      <c r="R8" s="23"/>
      <c r="S8" s="23"/>
      <c r="T8" s="23"/>
      <c r="U8" s="23"/>
      <c r="V8" s="23"/>
      <c r="W8" s="24"/>
    </row>
    <row r="9">
      <c r="A9" s="54"/>
      <c r="B9" s="29" t="s">
        <v>52</v>
      </c>
      <c r="C9" s="55">
        <f t="shared" ref="C9:D9" si="9">SUM(C3:C8)</f>
        <v>30704</v>
      </c>
      <c r="D9" s="56">
        <f t="shared" si="9"/>
        <v>283204.04</v>
      </c>
      <c r="E9" s="57"/>
      <c r="F9" s="60">
        <f>SUM(F3:F8)</f>
        <v>83683.8</v>
      </c>
      <c r="G9" s="31">
        <f t="shared" si="1"/>
        <v>2.725501563</v>
      </c>
      <c r="H9" s="60">
        <f t="shared" ref="H9:I9" si="10">SUM(H3:H8)</f>
        <v>366887.84</v>
      </c>
      <c r="I9" s="60">
        <f t="shared" si="10"/>
        <v>30573.98667</v>
      </c>
      <c r="J9" s="57"/>
      <c r="K9" s="62"/>
      <c r="L9" s="57">
        <f t="shared" ref="L9:P9" si="11">SUM(L3:L8)</f>
        <v>287955.4</v>
      </c>
      <c r="M9" s="57">
        <f t="shared" si="11"/>
        <v>292737.28</v>
      </c>
      <c r="N9" s="57">
        <f t="shared" si="11"/>
        <v>299890.9152</v>
      </c>
      <c r="O9" s="57">
        <f t="shared" si="11"/>
        <v>304281.7751</v>
      </c>
      <c r="P9" s="57">
        <f t="shared" si="11"/>
        <v>313273.0074</v>
      </c>
      <c r="Q9" s="57"/>
      <c r="R9" s="57"/>
      <c r="S9" s="57"/>
      <c r="T9" s="57"/>
      <c r="U9" s="74"/>
      <c r="V9" s="74"/>
      <c r="W9" s="74"/>
    </row>
    <row r="10">
      <c r="C10" s="75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</row>
    <row r="11">
      <c r="C11" s="75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</row>
    <row r="12">
      <c r="C12" s="75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</row>
    <row r="13">
      <c r="C13" s="75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</row>
    <row r="14">
      <c r="C14" s="75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</row>
    <row r="15">
      <c r="C15" s="75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</row>
    <row r="16">
      <c r="A16" s="78"/>
      <c r="B16" s="79"/>
      <c r="C16" s="80"/>
      <c r="D16" s="81"/>
      <c r="E16" s="81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</row>
    <row r="17">
      <c r="A17" s="83"/>
      <c r="B17" s="84"/>
      <c r="C17" s="85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</row>
    <row r="18">
      <c r="A18" s="83"/>
      <c r="B18" s="84"/>
      <c r="C18" s="8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</row>
    <row r="19">
      <c r="A19" s="83"/>
      <c r="B19" s="84"/>
      <c r="C19" s="85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</row>
    <row r="20">
      <c r="A20" s="83"/>
      <c r="B20" s="84"/>
      <c r="C20" s="85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</row>
    <row r="21">
      <c r="A21" s="83"/>
      <c r="B21" s="84"/>
      <c r="C21" s="85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</row>
    <row r="22">
      <c r="A22" s="83"/>
      <c r="B22" s="84"/>
      <c r="C22" s="85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</row>
    <row r="23">
      <c r="A23" s="83"/>
      <c r="B23" s="84"/>
      <c r="C23" s="85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</row>
    <row r="24">
      <c r="A24" s="83"/>
      <c r="B24" s="84"/>
      <c r="C24" s="85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</row>
    <row r="25">
      <c r="C25" s="75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</row>
    <row r="26">
      <c r="B26" s="91"/>
      <c r="C26" s="75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</row>
    <row r="27">
      <c r="C27" s="75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</row>
    <row r="28">
      <c r="C28" s="75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</row>
    <row r="29">
      <c r="C29" s="75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</row>
    <row r="30">
      <c r="C30" s="75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</row>
    <row r="31"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</row>
    <row r="32"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</row>
    <row r="33"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</row>
    <row r="34"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</row>
    <row r="35">
      <c r="C35" s="75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</row>
    <row r="36">
      <c r="C36" s="75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</row>
    <row r="37">
      <c r="C37" s="75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</row>
    <row r="38">
      <c r="C38" s="75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</row>
    <row r="39">
      <c r="C39" s="75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</row>
    <row r="40">
      <c r="C40" s="75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</row>
    <row r="41">
      <c r="C41" s="75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</row>
    <row r="42">
      <c r="C42" s="75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</row>
    <row r="43">
      <c r="C43" s="75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</row>
    <row r="44">
      <c r="C44" s="75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</row>
    <row r="45">
      <c r="C45" s="75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</row>
    <row r="46">
      <c r="C46" s="75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</row>
    <row r="47">
      <c r="C47" s="75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</row>
    <row r="48">
      <c r="C48" s="75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</row>
    <row r="49">
      <c r="C49" s="75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</row>
    <row r="50">
      <c r="C50" s="75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</row>
    <row r="51">
      <c r="C51" s="75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</row>
    <row r="52">
      <c r="C52" s="75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</row>
    <row r="53">
      <c r="C53" s="75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</row>
    <row r="54">
      <c r="C54" s="75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</row>
    <row r="55">
      <c r="C55" s="75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</row>
    <row r="56">
      <c r="C56" s="75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</row>
    <row r="57">
      <c r="C57" s="75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</row>
    <row r="58">
      <c r="C58" s="75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</row>
    <row r="59">
      <c r="C59" s="75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</row>
    <row r="60">
      <c r="C60" s="75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</row>
    <row r="61">
      <c r="C61" s="75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</row>
    <row r="62">
      <c r="C62" s="75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</row>
    <row r="63">
      <c r="C63" s="75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</row>
    <row r="64">
      <c r="C64" s="75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</row>
    <row r="65">
      <c r="C65" s="75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</row>
    <row r="66">
      <c r="C66" s="75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</row>
    <row r="67">
      <c r="C67" s="75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</row>
    <row r="68">
      <c r="C68" s="75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</row>
    <row r="69">
      <c r="C69" s="75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</row>
    <row r="70">
      <c r="C70" s="75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</row>
    <row r="71">
      <c r="C71" s="75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</row>
    <row r="72">
      <c r="C72" s="75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</row>
    <row r="73">
      <c r="C73" s="75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</row>
    <row r="74">
      <c r="C74" s="75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</row>
    <row r="75">
      <c r="C75" s="75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</row>
    <row r="76">
      <c r="C76" s="75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</row>
    <row r="77">
      <c r="C77" s="75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</row>
    <row r="78">
      <c r="C78" s="75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</row>
    <row r="79">
      <c r="C79" s="75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</row>
    <row r="80">
      <c r="C80" s="75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</row>
    <row r="81">
      <c r="C81" s="75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</row>
    <row r="82">
      <c r="C82" s="75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</row>
    <row r="83">
      <c r="C83" s="75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</row>
    <row r="84">
      <c r="C84" s="75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</row>
    <row r="85">
      <c r="C85" s="75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</row>
    <row r="86">
      <c r="C86" s="75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</row>
    <row r="87">
      <c r="C87" s="75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</row>
    <row r="88">
      <c r="C88" s="75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</row>
    <row r="89">
      <c r="C89" s="75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</row>
    <row r="90">
      <c r="C90" s="75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</row>
    <row r="91">
      <c r="C91" s="75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</row>
    <row r="92">
      <c r="C92" s="75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</row>
    <row r="93">
      <c r="C93" s="75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</row>
    <row r="94">
      <c r="C94" s="75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</row>
    <row r="95">
      <c r="C95" s="75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</row>
    <row r="96">
      <c r="C96" s="75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</row>
    <row r="97">
      <c r="C97" s="75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</row>
    <row r="98">
      <c r="C98" s="75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</row>
    <row r="99">
      <c r="C99" s="75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</row>
    <row r="100">
      <c r="C100" s="75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</row>
    <row r="101">
      <c r="C101" s="75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</row>
    <row r="102">
      <c r="C102" s="75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</row>
    <row r="103">
      <c r="C103" s="75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</row>
    <row r="104">
      <c r="C104" s="75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</row>
    <row r="105">
      <c r="C105" s="75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</row>
    <row r="106">
      <c r="C106" s="75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</row>
    <row r="107">
      <c r="C107" s="75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</row>
    <row r="108">
      <c r="C108" s="75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</row>
    <row r="109">
      <c r="C109" s="75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</row>
    <row r="110">
      <c r="C110" s="75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</row>
    <row r="111">
      <c r="C111" s="75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</row>
    <row r="112">
      <c r="C112" s="75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</row>
    <row r="113">
      <c r="C113" s="75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</row>
    <row r="114">
      <c r="C114" s="75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</row>
    <row r="115">
      <c r="C115" s="75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</row>
    <row r="116">
      <c r="C116" s="75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</row>
    <row r="117">
      <c r="C117" s="75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</row>
    <row r="118">
      <c r="C118" s="75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</row>
    <row r="119">
      <c r="C119" s="75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</row>
    <row r="120">
      <c r="C120" s="75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</row>
    <row r="121">
      <c r="C121" s="75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</row>
    <row r="122">
      <c r="C122" s="75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</row>
    <row r="123">
      <c r="C123" s="75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</row>
    <row r="124">
      <c r="C124" s="75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</row>
    <row r="125">
      <c r="C125" s="75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</row>
    <row r="126">
      <c r="C126" s="75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</row>
    <row r="127">
      <c r="C127" s="75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</row>
    <row r="128">
      <c r="C128" s="75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</row>
    <row r="129">
      <c r="C129" s="75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</row>
    <row r="130">
      <c r="C130" s="75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</row>
    <row r="131">
      <c r="C131" s="75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</row>
    <row r="132">
      <c r="C132" s="75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</row>
    <row r="133">
      <c r="C133" s="75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</row>
    <row r="134">
      <c r="C134" s="75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</row>
    <row r="135">
      <c r="C135" s="75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</row>
    <row r="136">
      <c r="C136" s="75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</row>
    <row r="137">
      <c r="C137" s="75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</row>
    <row r="138">
      <c r="C138" s="75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</row>
    <row r="139">
      <c r="C139" s="75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</row>
    <row r="140">
      <c r="C140" s="75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</row>
    <row r="141">
      <c r="C141" s="75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</row>
    <row r="142">
      <c r="C142" s="75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</row>
    <row r="143">
      <c r="C143" s="75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</row>
    <row r="144">
      <c r="C144" s="75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</row>
    <row r="145">
      <c r="C145" s="75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</row>
    <row r="146">
      <c r="C146" s="75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</row>
    <row r="147">
      <c r="C147" s="75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</row>
    <row r="148">
      <c r="C148" s="75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</row>
    <row r="149">
      <c r="C149" s="75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</row>
    <row r="150">
      <c r="C150" s="75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</row>
    <row r="151">
      <c r="C151" s="75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</row>
    <row r="152">
      <c r="C152" s="75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</row>
    <row r="153">
      <c r="C153" s="75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</row>
    <row r="154">
      <c r="C154" s="75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</row>
    <row r="155">
      <c r="C155" s="75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</row>
    <row r="156">
      <c r="C156" s="75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</row>
    <row r="157">
      <c r="C157" s="75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</row>
    <row r="158">
      <c r="C158" s="75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</row>
    <row r="159">
      <c r="C159" s="75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</row>
    <row r="160">
      <c r="C160" s="75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</row>
    <row r="161">
      <c r="C161" s="75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</row>
    <row r="162">
      <c r="C162" s="75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</row>
    <row r="163">
      <c r="C163" s="75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</row>
    <row r="164">
      <c r="C164" s="75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</row>
    <row r="165">
      <c r="C165" s="75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</row>
    <row r="166">
      <c r="C166" s="75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</row>
    <row r="167">
      <c r="C167" s="75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</row>
    <row r="168">
      <c r="C168" s="75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</row>
    <row r="169">
      <c r="C169" s="75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</row>
    <row r="170">
      <c r="C170" s="75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</row>
    <row r="171">
      <c r="C171" s="75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</row>
    <row r="172">
      <c r="C172" s="75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</row>
    <row r="173">
      <c r="C173" s="75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</row>
    <row r="174">
      <c r="C174" s="75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</row>
    <row r="175">
      <c r="C175" s="75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</row>
    <row r="176">
      <c r="C176" s="75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</row>
    <row r="177">
      <c r="C177" s="75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</row>
    <row r="178">
      <c r="C178" s="75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</row>
    <row r="179">
      <c r="C179" s="75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</row>
    <row r="180">
      <c r="C180" s="75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</row>
    <row r="181">
      <c r="C181" s="75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</row>
    <row r="182">
      <c r="C182" s="75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</row>
    <row r="183">
      <c r="C183" s="75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</row>
    <row r="184">
      <c r="C184" s="75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</row>
    <row r="185">
      <c r="C185" s="75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</row>
    <row r="186">
      <c r="C186" s="75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</row>
    <row r="187">
      <c r="C187" s="75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</row>
    <row r="188">
      <c r="C188" s="75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</row>
    <row r="189">
      <c r="C189" s="75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</row>
    <row r="190">
      <c r="C190" s="75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</row>
    <row r="191">
      <c r="C191" s="75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</row>
    <row r="192">
      <c r="C192" s="75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</row>
    <row r="193">
      <c r="C193" s="75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</row>
    <row r="194">
      <c r="C194" s="75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</row>
    <row r="195">
      <c r="C195" s="75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</row>
    <row r="196">
      <c r="C196" s="75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</row>
    <row r="197">
      <c r="C197" s="75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</row>
    <row r="198">
      <c r="C198" s="75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</row>
    <row r="199">
      <c r="C199" s="75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</row>
    <row r="200">
      <c r="C200" s="75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</row>
    <row r="201">
      <c r="C201" s="75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</row>
    <row r="202">
      <c r="C202" s="75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</row>
    <row r="203">
      <c r="C203" s="75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</row>
    <row r="204">
      <c r="C204" s="75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</row>
    <row r="205">
      <c r="C205" s="75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</row>
    <row r="206">
      <c r="C206" s="75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</row>
    <row r="207">
      <c r="C207" s="75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</row>
    <row r="208">
      <c r="C208" s="75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</row>
    <row r="209">
      <c r="C209" s="75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</row>
    <row r="210">
      <c r="C210" s="75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</row>
    <row r="211">
      <c r="C211" s="75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</row>
    <row r="212">
      <c r="C212" s="75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</row>
    <row r="213">
      <c r="C213" s="75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</row>
    <row r="214">
      <c r="C214" s="75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</row>
    <row r="215">
      <c r="C215" s="75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</row>
    <row r="216">
      <c r="C216" s="75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</row>
    <row r="217">
      <c r="C217" s="75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</row>
    <row r="218">
      <c r="C218" s="75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</row>
    <row r="219">
      <c r="C219" s="75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</row>
    <row r="220">
      <c r="C220" s="75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</row>
    <row r="221">
      <c r="C221" s="75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</row>
    <row r="222">
      <c r="C222" s="75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</row>
    <row r="223">
      <c r="C223" s="75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</row>
    <row r="224">
      <c r="C224" s="75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</row>
    <row r="225">
      <c r="C225" s="75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</row>
    <row r="226">
      <c r="C226" s="75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</row>
    <row r="227">
      <c r="C227" s="75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</row>
    <row r="228">
      <c r="C228" s="75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</row>
    <row r="229">
      <c r="C229" s="75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</row>
    <row r="230">
      <c r="C230" s="75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</row>
    <row r="231">
      <c r="C231" s="75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</row>
    <row r="232">
      <c r="C232" s="75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</row>
    <row r="233">
      <c r="C233" s="75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</row>
    <row r="234">
      <c r="C234" s="75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</row>
    <row r="235">
      <c r="C235" s="75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</row>
    <row r="236">
      <c r="C236" s="75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</row>
    <row r="237">
      <c r="C237" s="75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</row>
    <row r="238">
      <c r="C238" s="75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</row>
    <row r="239">
      <c r="C239" s="75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</row>
    <row r="240">
      <c r="C240" s="75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</row>
    <row r="241">
      <c r="C241" s="75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</row>
    <row r="242">
      <c r="C242" s="75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</row>
    <row r="243">
      <c r="C243" s="75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</row>
    <row r="244">
      <c r="C244" s="75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</row>
    <row r="245">
      <c r="C245" s="75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</row>
    <row r="246">
      <c r="C246" s="75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</row>
    <row r="247">
      <c r="C247" s="75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</row>
    <row r="248">
      <c r="C248" s="75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</row>
    <row r="249">
      <c r="C249" s="75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</row>
    <row r="250">
      <c r="C250" s="75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</row>
    <row r="251">
      <c r="C251" s="75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</row>
    <row r="252">
      <c r="C252" s="75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</row>
    <row r="253">
      <c r="C253" s="75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</row>
    <row r="254">
      <c r="C254" s="75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</row>
    <row r="255">
      <c r="C255" s="75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</row>
    <row r="256">
      <c r="C256" s="75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</row>
    <row r="257">
      <c r="C257" s="75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</row>
    <row r="258">
      <c r="C258" s="75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</row>
    <row r="259">
      <c r="C259" s="75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</row>
    <row r="260">
      <c r="C260" s="75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</row>
    <row r="261">
      <c r="C261" s="75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</row>
    <row r="262">
      <c r="C262" s="75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</row>
    <row r="263">
      <c r="C263" s="75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</row>
    <row r="264">
      <c r="C264" s="75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</row>
    <row r="265">
      <c r="C265" s="75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</row>
    <row r="266">
      <c r="C266" s="75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</row>
    <row r="267">
      <c r="C267" s="75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</row>
    <row r="268">
      <c r="C268" s="75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</row>
    <row r="269">
      <c r="C269" s="75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</row>
    <row r="270">
      <c r="C270" s="75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</row>
    <row r="271">
      <c r="C271" s="75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</row>
    <row r="272">
      <c r="C272" s="75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</row>
    <row r="273">
      <c r="C273" s="75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</row>
    <row r="274">
      <c r="C274" s="75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</row>
    <row r="275">
      <c r="C275" s="75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</row>
    <row r="276">
      <c r="C276" s="75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</row>
    <row r="277">
      <c r="C277" s="75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</row>
    <row r="278">
      <c r="C278" s="75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</row>
    <row r="279">
      <c r="C279" s="75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</row>
    <row r="280">
      <c r="C280" s="75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</row>
    <row r="281">
      <c r="C281" s="75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</row>
    <row r="282">
      <c r="C282" s="75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</row>
    <row r="283">
      <c r="C283" s="75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</row>
    <row r="284">
      <c r="C284" s="75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</row>
    <row r="285">
      <c r="C285" s="75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</row>
    <row r="286">
      <c r="C286" s="75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</row>
    <row r="287">
      <c r="C287" s="75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</row>
    <row r="288">
      <c r="C288" s="75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</row>
    <row r="289">
      <c r="C289" s="75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</row>
    <row r="290">
      <c r="C290" s="75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</row>
    <row r="291">
      <c r="C291" s="75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</row>
    <row r="292">
      <c r="C292" s="75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</row>
    <row r="293">
      <c r="C293" s="75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</row>
    <row r="294">
      <c r="C294" s="75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</row>
    <row r="295">
      <c r="C295" s="75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</row>
    <row r="296">
      <c r="C296" s="75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</row>
    <row r="297">
      <c r="C297" s="75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</row>
    <row r="298">
      <c r="C298" s="75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</row>
    <row r="299">
      <c r="C299" s="75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</row>
    <row r="300">
      <c r="C300" s="75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</row>
    <row r="301">
      <c r="C301" s="75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</row>
    <row r="302">
      <c r="C302" s="75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</row>
    <row r="303">
      <c r="C303" s="75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</row>
    <row r="304">
      <c r="C304" s="75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</row>
    <row r="305">
      <c r="C305" s="75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</row>
    <row r="306">
      <c r="C306" s="75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</row>
    <row r="307">
      <c r="C307" s="75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</row>
    <row r="308">
      <c r="C308" s="75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</row>
    <row r="309">
      <c r="C309" s="75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</row>
    <row r="310">
      <c r="C310" s="75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</row>
    <row r="311">
      <c r="C311" s="75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</row>
    <row r="312">
      <c r="C312" s="75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</row>
    <row r="313">
      <c r="C313" s="75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</row>
    <row r="314">
      <c r="C314" s="75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</row>
    <row r="315">
      <c r="C315" s="75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</row>
    <row r="316">
      <c r="C316" s="75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</row>
    <row r="317">
      <c r="C317" s="75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</row>
    <row r="318">
      <c r="C318" s="75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</row>
    <row r="319">
      <c r="C319" s="75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</row>
    <row r="320">
      <c r="C320" s="75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</row>
    <row r="321">
      <c r="C321" s="75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</row>
    <row r="322">
      <c r="C322" s="75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</row>
    <row r="323">
      <c r="C323" s="75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</row>
    <row r="324">
      <c r="C324" s="75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</row>
    <row r="325">
      <c r="C325" s="75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</row>
    <row r="326">
      <c r="C326" s="75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</row>
    <row r="327">
      <c r="C327" s="75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</row>
    <row r="328">
      <c r="C328" s="75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</row>
    <row r="329">
      <c r="C329" s="75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</row>
    <row r="330">
      <c r="C330" s="75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</row>
    <row r="331">
      <c r="C331" s="75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</row>
    <row r="332">
      <c r="C332" s="75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</row>
    <row r="333">
      <c r="C333" s="75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</row>
    <row r="334">
      <c r="C334" s="75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</row>
    <row r="335">
      <c r="C335" s="75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</row>
    <row r="336">
      <c r="C336" s="75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</row>
    <row r="337">
      <c r="C337" s="75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</row>
    <row r="338">
      <c r="C338" s="75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</row>
    <row r="339">
      <c r="C339" s="75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</row>
    <row r="340">
      <c r="C340" s="75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</row>
    <row r="341">
      <c r="C341" s="75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</row>
    <row r="342">
      <c r="C342" s="75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</row>
    <row r="343">
      <c r="C343" s="75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</row>
    <row r="344">
      <c r="C344" s="75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</row>
    <row r="345">
      <c r="C345" s="75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</row>
    <row r="346">
      <c r="C346" s="75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</row>
    <row r="347">
      <c r="C347" s="75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</row>
    <row r="348">
      <c r="C348" s="75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</row>
    <row r="349">
      <c r="C349" s="75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</row>
    <row r="350">
      <c r="C350" s="75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</row>
    <row r="351">
      <c r="C351" s="75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</row>
    <row r="352">
      <c r="C352" s="75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</row>
    <row r="353">
      <c r="C353" s="75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</row>
    <row r="354">
      <c r="C354" s="75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</row>
    <row r="355">
      <c r="C355" s="75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</row>
    <row r="356">
      <c r="C356" s="75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</row>
    <row r="357">
      <c r="C357" s="75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</row>
    <row r="358">
      <c r="C358" s="75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</row>
    <row r="359">
      <c r="C359" s="75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</row>
    <row r="360">
      <c r="C360" s="75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</row>
    <row r="361">
      <c r="C361" s="75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</row>
    <row r="362">
      <c r="C362" s="75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</row>
    <row r="363">
      <c r="C363" s="75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</row>
    <row r="364">
      <c r="C364" s="75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</row>
    <row r="365">
      <c r="C365" s="75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</row>
    <row r="366">
      <c r="C366" s="75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</row>
    <row r="367">
      <c r="C367" s="75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</row>
    <row r="368">
      <c r="C368" s="75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</row>
    <row r="369">
      <c r="C369" s="75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</row>
    <row r="370">
      <c r="C370" s="75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</row>
    <row r="371">
      <c r="C371" s="75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</row>
    <row r="372">
      <c r="C372" s="75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</row>
    <row r="373">
      <c r="C373" s="75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</row>
    <row r="374">
      <c r="C374" s="75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</row>
    <row r="375">
      <c r="C375" s="75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</row>
    <row r="376">
      <c r="C376" s="75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</row>
    <row r="377">
      <c r="C377" s="75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</row>
    <row r="378">
      <c r="C378" s="75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</row>
    <row r="379">
      <c r="C379" s="75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</row>
    <row r="380">
      <c r="C380" s="75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</row>
    <row r="381">
      <c r="C381" s="75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</row>
    <row r="382">
      <c r="C382" s="75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</row>
    <row r="383">
      <c r="C383" s="75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</row>
    <row r="384">
      <c r="C384" s="75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</row>
    <row r="385">
      <c r="C385" s="75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</row>
    <row r="386">
      <c r="C386" s="75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</row>
    <row r="387">
      <c r="C387" s="75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</row>
    <row r="388">
      <c r="C388" s="75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</row>
    <row r="389">
      <c r="C389" s="75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</row>
    <row r="390">
      <c r="C390" s="75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</row>
    <row r="391">
      <c r="C391" s="75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</row>
    <row r="392">
      <c r="C392" s="75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</row>
    <row r="393">
      <c r="C393" s="75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</row>
    <row r="394">
      <c r="C394" s="75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</row>
    <row r="395">
      <c r="C395" s="75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</row>
    <row r="396">
      <c r="C396" s="75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</row>
    <row r="397">
      <c r="C397" s="75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</row>
    <row r="398">
      <c r="C398" s="75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</row>
    <row r="399">
      <c r="C399" s="75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</row>
    <row r="400">
      <c r="C400" s="75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</row>
    <row r="401">
      <c r="C401" s="75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</row>
    <row r="402">
      <c r="C402" s="75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</row>
    <row r="403">
      <c r="C403" s="75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</row>
    <row r="404">
      <c r="C404" s="75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</row>
    <row r="405">
      <c r="C405" s="75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</row>
    <row r="406">
      <c r="C406" s="75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</row>
    <row r="407">
      <c r="C407" s="75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</row>
    <row r="408">
      <c r="C408" s="75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</row>
    <row r="409">
      <c r="C409" s="75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</row>
    <row r="410">
      <c r="C410" s="75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</row>
    <row r="411">
      <c r="C411" s="75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</row>
    <row r="412">
      <c r="C412" s="75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</row>
    <row r="413">
      <c r="C413" s="75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</row>
    <row r="414">
      <c r="C414" s="75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</row>
    <row r="415">
      <c r="C415" s="75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</row>
    <row r="416">
      <c r="C416" s="75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</row>
    <row r="417">
      <c r="C417" s="75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</row>
    <row r="418">
      <c r="C418" s="75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</row>
    <row r="419">
      <c r="C419" s="75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</row>
    <row r="420">
      <c r="C420" s="75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</row>
    <row r="421">
      <c r="C421" s="75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</row>
    <row r="422">
      <c r="C422" s="75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</row>
    <row r="423">
      <c r="C423" s="75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</row>
    <row r="424">
      <c r="C424" s="75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</row>
    <row r="425">
      <c r="C425" s="75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</row>
    <row r="426">
      <c r="C426" s="75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</row>
    <row r="427">
      <c r="C427" s="75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</row>
    <row r="428">
      <c r="C428" s="75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</row>
    <row r="429">
      <c r="C429" s="75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</row>
    <row r="430">
      <c r="C430" s="75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</row>
    <row r="431">
      <c r="C431" s="75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</row>
    <row r="432">
      <c r="C432" s="75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</row>
    <row r="433">
      <c r="C433" s="75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</row>
    <row r="434">
      <c r="C434" s="75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</row>
    <row r="435">
      <c r="C435" s="75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</row>
    <row r="436">
      <c r="C436" s="75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</row>
    <row r="437">
      <c r="C437" s="75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</row>
    <row r="438">
      <c r="C438" s="75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</row>
    <row r="439">
      <c r="C439" s="75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</row>
    <row r="440">
      <c r="C440" s="75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</row>
    <row r="441">
      <c r="C441" s="75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</row>
    <row r="442">
      <c r="C442" s="75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</row>
    <row r="443">
      <c r="C443" s="75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</row>
    <row r="444">
      <c r="C444" s="75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</row>
    <row r="445">
      <c r="C445" s="75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</row>
    <row r="446">
      <c r="C446" s="75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</row>
    <row r="447">
      <c r="C447" s="75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</row>
    <row r="448">
      <c r="C448" s="75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</row>
    <row r="449">
      <c r="C449" s="75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</row>
    <row r="450">
      <c r="C450" s="75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</row>
    <row r="451">
      <c r="C451" s="75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</row>
    <row r="452">
      <c r="C452" s="75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</row>
    <row r="453">
      <c r="C453" s="75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</row>
    <row r="454">
      <c r="C454" s="75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</row>
    <row r="455">
      <c r="C455" s="75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</row>
    <row r="456">
      <c r="C456" s="75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</row>
    <row r="457">
      <c r="C457" s="75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</row>
    <row r="458">
      <c r="C458" s="75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</row>
    <row r="459">
      <c r="C459" s="75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</row>
    <row r="460">
      <c r="C460" s="75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</row>
    <row r="461">
      <c r="C461" s="75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</row>
    <row r="462">
      <c r="C462" s="75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</row>
    <row r="463">
      <c r="C463" s="75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</row>
    <row r="464">
      <c r="C464" s="75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</row>
    <row r="465">
      <c r="C465" s="75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</row>
    <row r="466">
      <c r="C466" s="75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</row>
    <row r="467">
      <c r="C467" s="75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</row>
    <row r="468">
      <c r="C468" s="75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</row>
    <row r="469">
      <c r="C469" s="75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</row>
    <row r="470">
      <c r="C470" s="75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</row>
    <row r="471">
      <c r="C471" s="75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</row>
    <row r="472">
      <c r="C472" s="75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</row>
    <row r="473">
      <c r="C473" s="75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</row>
    <row r="474">
      <c r="C474" s="75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</row>
    <row r="475">
      <c r="C475" s="75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</row>
    <row r="476">
      <c r="C476" s="75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</row>
    <row r="477">
      <c r="C477" s="75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</row>
    <row r="478">
      <c r="C478" s="75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</row>
    <row r="479">
      <c r="C479" s="75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</row>
    <row r="480">
      <c r="C480" s="75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</row>
    <row r="481">
      <c r="C481" s="75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</row>
    <row r="482">
      <c r="C482" s="75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</row>
    <row r="483">
      <c r="C483" s="75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</row>
    <row r="484">
      <c r="C484" s="75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</row>
    <row r="485">
      <c r="C485" s="75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</row>
    <row r="486">
      <c r="C486" s="75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</row>
    <row r="487">
      <c r="C487" s="75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</row>
    <row r="488">
      <c r="C488" s="75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</row>
    <row r="489">
      <c r="C489" s="75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</row>
    <row r="490">
      <c r="C490" s="75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</row>
    <row r="491">
      <c r="C491" s="75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</row>
    <row r="492">
      <c r="C492" s="75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</row>
    <row r="493">
      <c r="C493" s="75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</row>
    <row r="494">
      <c r="C494" s="75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</row>
    <row r="495">
      <c r="C495" s="75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</row>
    <row r="496">
      <c r="C496" s="75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</row>
    <row r="497">
      <c r="C497" s="75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</row>
    <row r="498">
      <c r="C498" s="75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</row>
    <row r="499">
      <c r="C499" s="75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</row>
    <row r="500">
      <c r="C500" s="75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</row>
    <row r="501">
      <c r="C501" s="75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</row>
    <row r="502">
      <c r="C502" s="75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</row>
    <row r="503">
      <c r="C503" s="75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</row>
    <row r="504">
      <c r="C504" s="75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</row>
    <row r="505">
      <c r="C505" s="75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</row>
    <row r="506">
      <c r="C506" s="75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</row>
    <row r="507">
      <c r="C507" s="75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</row>
    <row r="508">
      <c r="C508" s="75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</row>
    <row r="509">
      <c r="C509" s="75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</row>
    <row r="510">
      <c r="C510" s="75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</row>
    <row r="511">
      <c r="C511" s="75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</row>
    <row r="512">
      <c r="C512" s="75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</row>
    <row r="513">
      <c r="C513" s="75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</row>
    <row r="514">
      <c r="C514" s="75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</row>
    <row r="515">
      <c r="C515" s="75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</row>
    <row r="516">
      <c r="C516" s="75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</row>
    <row r="517">
      <c r="C517" s="75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</row>
    <row r="518">
      <c r="C518" s="75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</row>
    <row r="519">
      <c r="C519" s="75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</row>
    <row r="520">
      <c r="C520" s="75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</row>
    <row r="521">
      <c r="C521" s="75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</row>
    <row r="522">
      <c r="C522" s="75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</row>
    <row r="523">
      <c r="C523" s="75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</row>
    <row r="524">
      <c r="C524" s="75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</row>
    <row r="525">
      <c r="C525" s="75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</row>
    <row r="526">
      <c r="C526" s="75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</row>
    <row r="527">
      <c r="C527" s="75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</row>
    <row r="528">
      <c r="C528" s="75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</row>
    <row r="529">
      <c r="C529" s="75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</row>
    <row r="530">
      <c r="C530" s="75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</row>
    <row r="531">
      <c r="C531" s="75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</row>
    <row r="532">
      <c r="C532" s="75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</row>
    <row r="533">
      <c r="C533" s="75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</row>
    <row r="534">
      <c r="C534" s="75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</row>
    <row r="535">
      <c r="C535" s="75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</row>
    <row r="536">
      <c r="C536" s="75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</row>
    <row r="537">
      <c r="C537" s="75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</row>
    <row r="538">
      <c r="C538" s="75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</row>
    <row r="539">
      <c r="C539" s="75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</row>
    <row r="540">
      <c r="C540" s="75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</row>
    <row r="541">
      <c r="C541" s="75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</row>
    <row r="542">
      <c r="C542" s="75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</row>
    <row r="543">
      <c r="C543" s="75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</row>
    <row r="544">
      <c r="C544" s="75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</row>
    <row r="545">
      <c r="C545" s="75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</row>
    <row r="546">
      <c r="C546" s="75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</row>
    <row r="547">
      <c r="C547" s="75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</row>
    <row r="548">
      <c r="C548" s="75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</row>
    <row r="549">
      <c r="C549" s="75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</row>
    <row r="550">
      <c r="C550" s="75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</row>
    <row r="551">
      <c r="C551" s="75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</row>
    <row r="552">
      <c r="C552" s="75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</row>
    <row r="553">
      <c r="C553" s="75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</row>
    <row r="554">
      <c r="C554" s="75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</row>
    <row r="555">
      <c r="C555" s="75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</row>
    <row r="556">
      <c r="C556" s="75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</row>
    <row r="557">
      <c r="C557" s="75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</row>
    <row r="558">
      <c r="C558" s="75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</row>
    <row r="559">
      <c r="C559" s="75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</row>
    <row r="560">
      <c r="C560" s="75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</row>
    <row r="561">
      <c r="C561" s="75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</row>
    <row r="562">
      <c r="C562" s="75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</row>
    <row r="563">
      <c r="C563" s="75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</row>
    <row r="564">
      <c r="C564" s="75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</row>
    <row r="565">
      <c r="C565" s="75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</row>
    <row r="566">
      <c r="C566" s="75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</row>
    <row r="567">
      <c r="C567" s="75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</row>
    <row r="568">
      <c r="C568" s="75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</row>
    <row r="569">
      <c r="C569" s="75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</row>
    <row r="570">
      <c r="C570" s="75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</row>
    <row r="571">
      <c r="C571" s="75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</row>
    <row r="572">
      <c r="C572" s="75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</row>
    <row r="573">
      <c r="C573" s="75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</row>
    <row r="574">
      <c r="C574" s="75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</row>
    <row r="575">
      <c r="C575" s="75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</row>
    <row r="576">
      <c r="C576" s="75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</row>
    <row r="577">
      <c r="C577" s="75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</row>
    <row r="578">
      <c r="C578" s="75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</row>
    <row r="579">
      <c r="C579" s="75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</row>
    <row r="580">
      <c r="C580" s="75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</row>
    <row r="581">
      <c r="C581" s="75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</row>
    <row r="582">
      <c r="C582" s="75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</row>
    <row r="583">
      <c r="C583" s="75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</row>
    <row r="584">
      <c r="C584" s="75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</row>
    <row r="585">
      <c r="C585" s="75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</row>
    <row r="586">
      <c r="C586" s="75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</row>
    <row r="587">
      <c r="C587" s="75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</row>
    <row r="588">
      <c r="C588" s="75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</row>
    <row r="589">
      <c r="C589" s="75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</row>
    <row r="590">
      <c r="C590" s="75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</row>
    <row r="591">
      <c r="C591" s="75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</row>
    <row r="592">
      <c r="C592" s="75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</row>
    <row r="593">
      <c r="C593" s="75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</row>
    <row r="594">
      <c r="C594" s="75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</row>
    <row r="595">
      <c r="C595" s="75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</row>
    <row r="596">
      <c r="C596" s="75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</row>
    <row r="597">
      <c r="C597" s="75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</row>
    <row r="598">
      <c r="C598" s="75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</row>
    <row r="599">
      <c r="C599" s="75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</row>
    <row r="600">
      <c r="C600" s="75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</row>
    <row r="601">
      <c r="C601" s="75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</row>
    <row r="602">
      <c r="C602" s="75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</row>
    <row r="603">
      <c r="C603" s="75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</row>
    <row r="604">
      <c r="C604" s="75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</row>
    <row r="605">
      <c r="C605" s="75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</row>
    <row r="606">
      <c r="C606" s="75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</row>
    <row r="607">
      <c r="C607" s="75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</row>
    <row r="608">
      <c r="C608" s="75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</row>
    <row r="609">
      <c r="C609" s="75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</row>
    <row r="610">
      <c r="C610" s="75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</row>
    <row r="611">
      <c r="C611" s="75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</row>
    <row r="612">
      <c r="C612" s="75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</row>
    <row r="613">
      <c r="C613" s="75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</row>
    <row r="614">
      <c r="C614" s="75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</row>
    <row r="615">
      <c r="C615" s="75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</row>
    <row r="616">
      <c r="C616" s="75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</row>
    <row r="617">
      <c r="C617" s="75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</row>
    <row r="618">
      <c r="C618" s="75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</row>
    <row r="619">
      <c r="C619" s="75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</row>
    <row r="620">
      <c r="C620" s="75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</row>
    <row r="621">
      <c r="C621" s="75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</row>
    <row r="622">
      <c r="C622" s="75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</row>
    <row r="623">
      <c r="C623" s="75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</row>
    <row r="624">
      <c r="C624" s="75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</row>
    <row r="625">
      <c r="C625" s="75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</row>
    <row r="626">
      <c r="C626" s="75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</row>
    <row r="627">
      <c r="C627" s="75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</row>
    <row r="628">
      <c r="C628" s="75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</row>
    <row r="629">
      <c r="C629" s="75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</row>
    <row r="630">
      <c r="C630" s="75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</row>
    <row r="631">
      <c r="C631" s="75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</row>
    <row r="632">
      <c r="C632" s="75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</row>
    <row r="633">
      <c r="C633" s="75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</row>
    <row r="634">
      <c r="C634" s="75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</row>
    <row r="635">
      <c r="C635" s="75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</row>
    <row r="636">
      <c r="C636" s="75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</row>
    <row r="637">
      <c r="C637" s="75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</row>
    <row r="638">
      <c r="C638" s="75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</row>
    <row r="639">
      <c r="C639" s="75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</row>
    <row r="640">
      <c r="C640" s="75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</row>
    <row r="641">
      <c r="C641" s="75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</row>
    <row r="642">
      <c r="C642" s="75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</row>
    <row r="643">
      <c r="C643" s="75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</row>
    <row r="644">
      <c r="C644" s="75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</row>
    <row r="645">
      <c r="C645" s="75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</row>
    <row r="646">
      <c r="C646" s="75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</row>
    <row r="647">
      <c r="C647" s="75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</row>
    <row r="648">
      <c r="C648" s="75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</row>
    <row r="649">
      <c r="C649" s="75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</row>
    <row r="650">
      <c r="C650" s="75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</row>
    <row r="651">
      <c r="C651" s="75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</row>
    <row r="652">
      <c r="C652" s="75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</row>
    <row r="653">
      <c r="C653" s="75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</row>
    <row r="654">
      <c r="C654" s="75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</row>
    <row r="655">
      <c r="C655" s="75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</row>
    <row r="656">
      <c r="C656" s="75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</row>
    <row r="657">
      <c r="C657" s="75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</row>
    <row r="658">
      <c r="C658" s="75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</row>
    <row r="659">
      <c r="C659" s="75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</row>
    <row r="660">
      <c r="C660" s="75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</row>
    <row r="661">
      <c r="C661" s="75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</row>
    <row r="662">
      <c r="C662" s="75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</row>
    <row r="663">
      <c r="C663" s="75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</row>
    <row r="664">
      <c r="C664" s="75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</row>
    <row r="665">
      <c r="C665" s="75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</row>
    <row r="666">
      <c r="C666" s="75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</row>
    <row r="667">
      <c r="C667" s="75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</row>
    <row r="668">
      <c r="C668" s="75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</row>
    <row r="669">
      <c r="C669" s="75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</row>
    <row r="670">
      <c r="C670" s="75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</row>
    <row r="671">
      <c r="C671" s="75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</row>
    <row r="672">
      <c r="C672" s="75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</row>
    <row r="673">
      <c r="C673" s="75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</row>
    <row r="674">
      <c r="C674" s="75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</row>
    <row r="675">
      <c r="C675" s="75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</row>
    <row r="676">
      <c r="C676" s="75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</row>
    <row r="677">
      <c r="C677" s="75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</row>
    <row r="678">
      <c r="C678" s="75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</row>
    <row r="679">
      <c r="C679" s="75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</row>
    <row r="680">
      <c r="C680" s="75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</row>
    <row r="681">
      <c r="C681" s="75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</row>
    <row r="682">
      <c r="C682" s="75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</row>
    <row r="683">
      <c r="C683" s="75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</row>
    <row r="684">
      <c r="C684" s="75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</row>
    <row r="685">
      <c r="C685" s="75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</row>
    <row r="686">
      <c r="C686" s="75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</row>
    <row r="687">
      <c r="C687" s="75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</row>
    <row r="688">
      <c r="C688" s="75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</row>
    <row r="689">
      <c r="C689" s="75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</row>
    <row r="690">
      <c r="C690" s="75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</row>
    <row r="691">
      <c r="C691" s="75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</row>
    <row r="692">
      <c r="C692" s="75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</row>
    <row r="693">
      <c r="C693" s="75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</row>
    <row r="694">
      <c r="C694" s="75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</row>
    <row r="695">
      <c r="C695" s="75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</row>
    <row r="696">
      <c r="C696" s="75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</row>
    <row r="697">
      <c r="C697" s="75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</row>
    <row r="698">
      <c r="C698" s="75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</row>
    <row r="699">
      <c r="C699" s="75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</row>
    <row r="700">
      <c r="C700" s="75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</row>
    <row r="701">
      <c r="C701" s="75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</row>
    <row r="702">
      <c r="C702" s="75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</row>
    <row r="703">
      <c r="C703" s="75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</row>
    <row r="704">
      <c r="C704" s="75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</row>
    <row r="705">
      <c r="C705" s="75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</row>
    <row r="706">
      <c r="C706" s="75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</row>
    <row r="707">
      <c r="C707" s="75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</row>
    <row r="708">
      <c r="C708" s="75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</row>
    <row r="709">
      <c r="C709" s="75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</row>
    <row r="710">
      <c r="C710" s="75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</row>
    <row r="711">
      <c r="C711" s="75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</row>
    <row r="712">
      <c r="C712" s="75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</row>
    <row r="713">
      <c r="C713" s="75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</row>
    <row r="714">
      <c r="C714" s="75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</row>
    <row r="715">
      <c r="C715" s="75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</row>
    <row r="716">
      <c r="C716" s="75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</row>
    <row r="717">
      <c r="C717" s="75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</row>
    <row r="718">
      <c r="C718" s="75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</row>
    <row r="719">
      <c r="C719" s="75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</row>
    <row r="720">
      <c r="C720" s="75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</row>
    <row r="721">
      <c r="C721" s="75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</row>
    <row r="722">
      <c r="C722" s="75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</row>
    <row r="723">
      <c r="C723" s="75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</row>
    <row r="724">
      <c r="C724" s="75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</row>
    <row r="725">
      <c r="C725" s="75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</row>
    <row r="726">
      <c r="C726" s="75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</row>
    <row r="727">
      <c r="C727" s="75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</row>
    <row r="728">
      <c r="C728" s="75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</row>
    <row r="729">
      <c r="C729" s="75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</row>
    <row r="730">
      <c r="C730" s="75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</row>
    <row r="731">
      <c r="C731" s="75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</row>
    <row r="732">
      <c r="C732" s="75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</row>
    <row r="733">
      <c r="C733" s="75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</row>
    <row r="734">
      <c r="C734" s="75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</row>
    <row r="735">
      <c r="C735" s="75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</row>
    <row r="736">
      <c r="C736" s="75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</row>
    <row r="737">
      <c r="C737" s="75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</row>
    <row r="738">
      <c r="C738" s="75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</row>
    <row r="739">
      <c r="C739" s="75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</row>
    <row r="740">
      <c r="C740" s="75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</row>
    <row r="741">
      <c r="C741" s="75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</row>
    <row r="742">
      <c r="C742" s="75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</row>
    <row r="743">
      <c r="C743" s="75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</row>
    <row r="744">
      <c r="C744" s="75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</row>
    <row r="745">
      <c r="C745" s="75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</row>
    <row r="746">
      <c r="C746" s="75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</row>
    <row r="747">
      <c r="C747" s="75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</row>
    <row r="748">
      <c r="C748" s="75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</row>
    <row r="749">
      <c r="C749" s="75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</row>
    <row r="750">
      <c r="C750" s="75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</row>
    <row r="751">
      <c r="C751" s="75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</row>
    <row r="752">
      <c r="C752" s="75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</row>
    <row r="753">
      <c r="C753" s="75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</row>
    <row r="754">
      <c r="C754" s="75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</row>
    <row r="755">
      <c r="C755" s="75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</row>
    <row r="756">
      <c r="C756" s="75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</row>
    <row r="757">
      <c r="C757" s="75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</row>
    <row r="758">
      <c r="C758" s="75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</row>
    <row r="759">
      <c r="C759" s="75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</row>
    <row r="760">
      <c r="C760" s="75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</row>
    <row r="761">
      <c r="C761" s="75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</row>
    <row r="762">
      <c r="C762" s="75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</row>
    <row r="763">
      <c r="C763" s="75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</row>
    <row r="764">
      <c r="C764" s="75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</row>
    <row r="765">
      <c r="C765" s="75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</row>
    <row r="766">
      <c r="C766" s="75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</row>
    <row r="767">
      <c r="C767" s="75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</row>
    <row r="768">
      <c r="C768" s="75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</row>
    <row r="769">
      <c r="C769" s="75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</row>
    <row r="770">
      <c r="C770" s="75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</row>
    <row r="771">
      <c r="C771" s="75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</row>
    <row r="772">
      <c r="C772" s="75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</row>
    <row r="773">
      <c r="C773" s="75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</row>
    <row r="774">
      <c r="C774" s="75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</row>
    <row r="775">
      <c r="C775" s="75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</row>
    <row r="776">
      <c r="C776" s="75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</row>
    <row r="777">
      <c r="C777" s="75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</row>
    <row r="778">
      <c r="C778" s="75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</row>
    <row r="779">
      <c r="C779" s="75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</row>
    <row r="780">
      <c r="C780" s="75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</row>
    <row r="781">
      <c r="C781" s="75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</row>
    <row r="782">
      <c r="C782" s="75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</row>
    <row r="783">
      <c r="C783" s="75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</row>
    <row r="784">
      <c r="C784" s="75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</row>
    <row r="785">
      <c r="C785" s="75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</row>
    <row r="786">
      <c r="C786" s="75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</row>
    <row r="787">
      <c r="C787" s="75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</row>
    <row r="788">
      <c r="C788" s="75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</row>
    <row r="789">
      <c r="C789" s="75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</row>
    <row r="790">
      <c r="C790" s="75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</row>
    <row r="791">
      <c r="C791" s="75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</row>
    <row r="792">
      <c r="C792" s="75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</row>
    <row r="793">
      <c r="C793" s="75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</row>
    <row r="794">
      <c r="C794" s="75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</row>
    <row r="795">
      <c r="C795" s="75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</row>
    <row r="796">
      <c r="C796" s="75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</row>
    <row r="797">
      <c r="C797" s="75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</row>
    <row r="798">
      <c r="C798" s="75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</row>
    <row r="799">
      <c r="C799" s="75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</row>
    <row r="800">
      <c r="C800" s="75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</row>
    <row r="801">
      <c r="C801" s="75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</row>
    <row r="802">
      <c r="C802" s="75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</row>
    <row r="803">
      <c r="C803" s="75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</row>
    <row r="804">
      <c r="C804" s="75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</row>
    <row r="805">
      <c r="C805" s="75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</row>
    <row r="806">
      <c r="C806" s="75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</row>
    <row r="807">
      <c r="C807" s="75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</row>
    <row r="808">
      <c r="C808" s="75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</row>
    <row r="809">
      <c r="C809" s="75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</row>
    <row r="810">
      <c r="C810" s="75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</row>
    <row r="811">
      <c r="C811" s="75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</row>
    <row r="812">
      <c r="C812" s="75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</row>
    <row r="813">
      <c r="C813" s="75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</row>
    <row r="814">
      <c r="C814" s="75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</row>
    <row r="815">
      <c r="C815" s="75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</row>
    <row r="816">
      <c r="C816" s="75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</row>
    <row r="817">
      <c r="C817" s="75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</row>
    <row r="818">
      <c r="C818" s="75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</row>
    <row r="819">
      <c r="C819" s="75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</row>
    <row r="820">
      <c r="C820" s="75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</row>
    <row r="821">
      <c r="C821" s="75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</row>
    <row r="822">
      <c r="C822" s="75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</row>
    <row r="823">
      <c r="C823" s="75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</row>
    <row r="824">
      <c r="C824" s="75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</row>
    <row r="825">
      <c r="C825" s="75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</row>
    <row r="826">
      <c r="C826" s="75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</row>
    <row r="827">
      <c r="C827" s="75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</row>
    <row r="828">
      <c r="C828" s="75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</row>
    <row r="829">
      <c r="C829" s="75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</row>
    <row r="830">
      <c r="C830" s="75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</row>
    <row r="831">
      <c r="C831" s="75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</row>
    <row r="832">
      <c r="C832" s="75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</row>
    <row r="833">
      <c r="C833" s="75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</row>
    <row r="834">
      <c r="C834" s="75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</row>
    <row r="835">
      <c r="C835" s="75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</row>
    <row r="836">
      <c r="C836" s="75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</row>
    <row r="837">
      <c r="C837" s="75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</row>
    <row r="838">
      <c r="C838" s="75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</row>
    <row r="839">
      <c r="C839" s="75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</row>
    <row r="840">
      <c r="C840" s="75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</row>
    <row r="841">
      <c r="C841" s="75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</row>
    <row r="842">
      <c r="C842" s="75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</row>
    <row r="843">
      <c r="C843" s="75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</row>
    <row r="844">
      <c r="C844" s="75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</row>
    <row r="845">
      <c r="C845" s="75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</row>
    <row r="846">
      <c r="C846" s="75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</row>
    <row r="847">
      <c r="C847" s="75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</row>
    <row r="848">
      <c r="C848" s="75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</row>
    <row r="849">
      <c r="C849" s="75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</row>
    <row r="850">
      <c r="C850" s="75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</row>
    <row r="851">
      <c r="C851" s="75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</row>
    <row r="852">
      <c r="C852" s="75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</row>
    <row r="853">
      <c r="C853" s="75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</row>
    <row r="854">
      <c r="C854" s="75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</row>
    <row r="855">
      <c r="C855" s="75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</row>
    <row r="856">
      <c r="C856" s="75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</row>
    <row r="857">
      <c r="C857" s="75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</row>
    <row r="858">
      <c r="C858" s="75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</row>
    <row r="859">
      <c r="C859" s="75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</row>
    <row r="860">
      <c r="C860" s="75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</row>
    <row r="861">
      <c r="C861" s="75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</row>
    <row r="862">
      <c r="C862" s="75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</row>
    <row r="863">
      <c r="C863" s="75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</row>
    <row r="864">
      <c r="C864" s="75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</row>
    <row r="865">
      <c r="C865" s="75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</row>
    <row r="866">
      <c r="C866" s="75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</row>
    <row r="867">
      <c r="C867" s="75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</row>
    <row r="868">
      <c r="C868" s="75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</row>
    <row r="869">
      <c r="C869" s="75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</row>
    <row r="870">
      <c r="C870" s="75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</row>
    <row r="871">
      <c r="C871" s="75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</row>
    <row r="872">
      <c r="C872" s="75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</row>
    <row r="873">
      <c r="C873" s="75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</row>
    <row r="874">
      <c r="C874" s="75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</row>
    <row r="875">
      <c r="C875" s="75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</row>
    <row r="876">
      <c r="C876" s="75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</row>
    <row r="877">
      <c r="C877" s="75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</row>
    <row r="878">
      <c r="C878" s="75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</row>
    <row r="879">
      <c r="C879" s="75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</row>
    <row r="880">
      <c r="C880" s="75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</row>
    <row r="881">
      <c r="C881" s="75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</row>
    <row r="882">
      <c r="C882" s="75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</row>
    <row r="883">
      <c r="C883" s="75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</row>
    <row r="884">
      <c r="C884" s="75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</row>
    <row r="885">
      <c r="C885" s="75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</row>
    <row r="886">
      <c r="C886" s="75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</row>
    <row r="887">
      <c r="C887" s="75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</row>
    <row r="888">
      <c r="C888" s="75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</row>
    <row r="889">
      <c r="C889" s="75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</row>
    <row r="890">
      <c r="C890" s="75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</row>
    <row r="891">
      <c r="C891" s="75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</row>
    <row r="892">
      <c r="C892" s="75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</row>
    <row r="893">
      <c r="C893" s="75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</row>
    <row r="894">
      <c r="C894" s="75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</row>
    <row r="895">
      <c r="C895" s="75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</row>
    <row r="896">
      <c r="C896" s="75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</row>
    <row r="897">
      <c r="C897" s="75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</row>
    <row r="898">
      <c r="C898" s="75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</row>
    <row r="899">
      <c r="C899" s="75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</row>
    <row r="900">
      <c r="C900" s="75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</row>
    <row r="901">
      <c r="C901" s="75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</row>
    <row r="902">
      <c r="C902" s="75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</row>
    <row r="903">
      <c r="C903" s="75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</row>
    <row r="904">
      <c r="C904" s="75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</row>
    <row r="905">
      <c r="C905" s="75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</row>
    <row r="906">
      <c r="C906" s="75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</row>
    <row r="907">
      <c r="C907" s="75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</row>
    <row r="908">
      <c r="C908" s="75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</row>
    <row r="909">
      <c r="C909" s="75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</row>
    <row r="910">
      <c r="C910" s="75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</row>
    <row r="911">
      <c r="C911" s="75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</row>
    <row r="912">
      <c r="C912" s="75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</row>
    <row r="913">
      <c r="C913" s="75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</row>
    <row r="914">
      <c r="C914" s="75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</row>
    <row r="915">
      <c r="C915" s="75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</row>
    <row r="916">
      <c r="C916" s="75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</row>
    <row r="917">
      <c r="C917" s="75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</row>
    <row r="918">
      <c r="C918" s="75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</row>
    <row r="919">
      <c r="C919" s="75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</row>
    <row r="920">
      <c r="C920" s="75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</row>
    <row r="921">
      <c r="C921" s="75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</row>
    <row r="922">
      <c r="C922" s="75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</row>
    <row r="923">
      <c r="C923" s="75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</row>
    <row r="924">
      <c r="C924" s="75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</row>
    <row r="925">
      <c r="C925" s="75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</row>
    <row r="926">
      <c r="C926" s="75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</row>
    <row r="927">
      <c r="C927" s="75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</row>
    <row r="928">
      <c r="C928" s="75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</row>
    <row r="929">
      <c r="C929" s="75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</row>
    <row r="930">
      <c r="C930" s="75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</row>
    <row r="931">
      <c r="C931" s="75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</row>
    <row r="932">
      <c r="C932" s="75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</row>
    <row r="933">
      <c r="C933" s="75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</row>
    <row r="934">
      <c r="C934" s="75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</row>
    <row r="935">
      <c r="C935" s="75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</row>
    <row r="936">
      <c r="C936" s="75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</row>
    <row r="937">
      <c r="C937" s="75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</row>
    <row r="938">
      <c r="C938" s="75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</row>
    <row r="939">
      <c r="C939" s="75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</row>
    <row r="940">
      <c r="C940" s="75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</row>
    <row r="941">
      <c r="C941" s="75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</row>
    <row r="942">
      <c r="C942" s="75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</row>
    <row r="943">
      <c r="C943" s="75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</row>
    <row r="944">
      <c r="C944" s="75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</row>
    <row r="945">
      <c r="C945" s="75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</row>
    <row r="946">
      <c r="C946" s="75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</row>
    <row r="947">
      <c r="C947" s="75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</row>
    <row r="948">
      <c r="C948" s="75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</row>
    <row r="949">
      <c r="C949" s="75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</row>
    <row r="950">
      <c r="C950" s="75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</row>
    <row r="951">
      <c r="C951" s="75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</row>
    <row r="952">
      <c r="C952" s="75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</row>
    <row r="953">
      <c r="C953" s="75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</row>
    <row r="954">
      <c r="C954" s="75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</row>
    <row r="955">
      <c r="C955" s="75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</row>
    <row r="956">
      <c r="C956" s="75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</row>
    <row r="957">
      <c r="C957" s="75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</row>
    <row r="958">
      <c r="C958" s="75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</row>
    <row r="959">
      <c r="C959" s="75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</row>
    <row r="960">
      <c r="C960" s="75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</row>
    <row r="961">
      <c r="C961" s="75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</row>
    <row r="962">
      <c r="C962" s="75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</row>
    <row r="963">
      <c r="C963" s="75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</row>
    <row r="964">
      <c r="C964" s="75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</row>
    <row r="965">
      <c r="C965" s="75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</row>
    <row r="966">
      <c r="C966" s="75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</row>
    <row r="967">
      <c r="C967" s="75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</row>
    <row r="968">
      <c r="C968" s="75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</row>
    <row r="969">
      <c r="C969" s="75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</row>
    <row r="970">
      <c r="C970" s="75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</row>
    <row r="971">
      <c r="C971" s="75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</row>
    <row r="972">
      <c r="C972" s="75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</row>
    <row r="973">
      <c r="C973" s="75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</row>
    <row r="974">
      <c r="C974" s="75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</row>
    <row r="975">
      <c r="C975" s="75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</row>
    <row r="976">
      <c r="C976" s="75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</row>
    <row r="977">
      <c r="C977" s="75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</row>
    <row r="978">
      <c r="C978" s="75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</row>
    <row r="979">
      <c r="C979" s="75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</row>
    <row r="980">
      <c r="C980" s="75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</row>
    <row r="981">
      <c r="C981" s="75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</row>
    <row r="982">
      <c r="C982" s="75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</row>
    <row r="983">
      <c r="C983" s="75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</row>
    <row r="984">
      <c r="C984" s="75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</row>
    <row r="985">
      <c r="C985" s="75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</row>
    <row r="986">
      <c r="C986" s="75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</row>
  </sheetData>
  <mergeCells count="8">
    <mergeCell ref="Q6:W6"/>
    <mergeCell ref="Q7:W7"/>
    <mergeCell ref="Q8:W8"/>
    <mergeCell ref="A1:W1"/>
    <mergeCell ref="Q2:W2"/>
    <mergeCell ref="Q3:W3"/>
    <mergeCell ref="Q4:W4"/>
    <mergeCell ref="Q5:W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2023-07-12T13:33:23Z</dcterms:created>
  <dc:creator>Alfredo Garcia</dc:creator>
</cp:coreProperties>
</file>