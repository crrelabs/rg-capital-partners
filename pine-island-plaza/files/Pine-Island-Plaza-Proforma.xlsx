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orma" sheetId="1" r:id="rId4"/>
    <sheet state="visible" name="7 YR - Rent Roll" sheetId="2" r:id="rId5"/>
    <sheet state="visible" name="Current Rent Roll" sheetId="3" r:id="rId6"/>
  </sheets>
  <definedNames/>
  <calcPr/>
  <extLst>
    <ext uri="GoogleSheetsCustomDataVersion2">
      <go:sheetsCustomData xmlns:go="http://customooxmlschemas.google.com/" r:id="rId7" roundtripDataChecksum="tB9oyjFSot/RGCjU/YVnNgDt8dqszQepvDct68ykdNM="/>
    </ext>
  </extLst>
</workbook>
</file>

<file path=xl/sharedStrings.xml><?xml version="1.0" encoding="utf-8"?>
<sst xmlns="http://schemas.openxmlformats.org/spreadsheetml/2006/main" count="169" uniqueCount="119">
  <si>
    <t>Location</t>
  </si>
  <si>
    <t>1806-1856 N Pine Island Rd - Plantation</t>
  </si>
  <si>
    <t>$/PSQF</t>
  </si>
  <si>
    <t>Rentable SQ FT's</t>
  </si>
  <si>
    <t>Tenants #</t>
  </si>
  <si>
    <t>Purchase Price</t>
  </si>
  <si>
    <t>Seller Carry Loan</t>
  </si>
  <si>
    <t>Down Payment</t>
  </si>
  <si>
    <t>Closing Costs</t>
  </si>
  <si>
    <t>Acquisition Fee</t>
  </si>
  <si>
    <t>Working Capital</t>
  </si>
  <si>
    <t>Total Cash to Close</t>
  </si>
  <si>
    <t>Bank Loan I</t>
  </si>
  <si>
    <t>Terms</t>
  </si>
  <si>
    <t>I/O</t>
  </si>
  <si>
    <t>INCOME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</si>
  <si>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</si>
  <si>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</si>
  <si>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</si>
  <si>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</si>
  <si>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</si>
  <si>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</si>
  <si>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</si>
  <si>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</si>
  <si>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</si>
  <si>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</si>
  <si>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Base Rent</t>
  </si>
  <si>
    <t>NNN Reimbursements</t>
  </si>
  <si>
    <t>Total Income</t>
  </si>
  <si>
    <t>General Vacancy</t>
  </si>
  <si>
    <t>Effective Gross Income</t>
  </si>
  <si>
    <t>EXPENSES</t>
  </si>
  <si>
    <t>General &amp; Administrative</t>
  </si>
  <si>
    <t>Advertising</t>
  </si>
  <si>
    <t>Property Management (5%)</t>
  </si>
  <si>
    <t>Asset Management (2%)</t>
  </si>
  <si>
    <t>RE Taxes</t>
  </si>
  <si>
    <t>Insurance</t>
  </si>
  <si>
    <t>License &amp; Permits</t>
  </si>
  <si>
    <t>Waste &amp; Utilities</t>
  </si>
  <si>
    <t>Landscape</t>
  </si>
  <si>
    <t>Pest Control</t>
  </si>
  <si>
    <t>Repair &amp; Maintenance</t>
  </si>
  <si>
    <t>Total Expenses</t>
  </si>
  <si>
    <t>NOI</t>
  </si>
  <si>
    <t>Bank Debt Service</t>
  </si>
  <si>
    <t>Cash Flow</t>
  </si>
  <si>
    <t>CAP %</t>
  </si>
  <si>
    <t>CASH ON CASH %</t>
  </si>
  <si>
    <t>DSCR</t>
  </si>
  <si>
    <t>LP Preferred Return</t>
  </si>
  <si>
    <t>LP Waterfall</t>
  </si>
  <si>
    <t>GP Waterfall</t>
  </si>
  <si>
    <t>LP Cash on Cash</t>
  </si>
  <si>
    <t>Sale in Yr 7</t>
  </si>
  <si>
    <t>Sale Price</t>
  </si>
  <si>
    <t>Investor IRR</t>
  </si>
  <si>
    <t>Building Value</t>
  </si>
  <si>
    <t>7% Cap Rate</t>
  </si>
  <si>
    <t>6% Cap Rate</t>
  </si>
  <si>
    <t>5% Cap Rate</t>
  </si>
  <si>
    <t>4% Cap Rate</t>
  </si>
  <si>
    <t>CAM</t>
  </si>
  <si>
    <t>Tax</t>
  </si>
  <si>
    <t>Total</t>
  </si>
  <si>
    <t>SELMED INVESTMENT GROUP LLC</t>
  </si>
  <si>
    <t>Rent Roll</t>
  </si>
  <si>
    <t>Rent includes Electricity, Water and Common Area</t>
  </si>
  <si>
    <t>Unit</t>
  </si>
  <si>
    <t>Tenant</t>
  </si>
  <si>
    <t>SF</t>
  </si>
  <si>
    <t>Price/SF</t>
  </si>
  <si>
    <t>Monthly Rent</t>
  </si>
  <si>
    <t>1820</t>
  </si>
  <si>
    <t>954 Spot LLC</t>
  </si>
  <si>
    <t>1836</t>
  </si>
  <si>
    <t>America Enroll Insurance Advisors</t>
  </si>
  <si>
    <t>1830</t>
  </si>
  <si>
    <t>Family Therapy Providers</t>
  </si>
  <si>
    <t>1840</t>
  </si>
  <si>
    <t>HMG Clean Out Inc</t>
  </si>
  <si>
    <t>1806</t>
  </si>
  <si>
    <t>PMC Plantation LLC</t>
  </si>
  <si>
    <t>1856</t>
  </si>
  <si>
    <t>Soothing Oasis Massage LLC</t>
  </si>
  <si>
    <t>1846</t>
  </si>
  <si>
    <t>US Rx Distribution LLC</t>
  </si>
  <si>
    <t>1834</t>
  </si>
  <si>
    <t>Home Makers Companions</t>
  </si>
  <si>
    <t>1850</t>
  </si>
  <si>
    <t>LeMacks Salon</t>
  </si>
  <si>
    <t>1816</t>
  </si>
  <si>
    <t>Vacant</t>
  </si>
  <si>
    <t>1818</t>
  </si>
  <si>
    <t>Leasing Office - Vacant</t>
  </si>
  <si>
    <t>Totals</t>
  </si>
  <si>
    <t>Market Rent</t>
  </si>
  <si>
    <t>Annual Rent</t>
  </si>
  <si>
    <t>Annual Adjust</t>
  </si>
  <si>
    <t>Lease Start</t>
  </si>
  <si>
    <t>Lease End</t>
  </si>
  <si>
    <t>Remarks</t>
  </si>
  <si>
    <t>8/17/2021</t>
  </si>
  <si>
    <t>MTM</t>
  </si>
  <si>
    <t>1/7/2020</t>
  </si>
  <si>
    <t>1/31/2026</t>
  </si>
  <si>
    <t>6/13/2017</t>
  </si>
  <si>
    <t>3%</t>
  </si>
  <si>
    <t>9/1/2024</t>
  </si>
  <si>
    <t>10/31/2025</t>
  </si>
  <si>
    <t>4/27/2006</t>
  </si>
  <si>
    <t>4/30/2026</t>
  </si>
  <si>
    <t>Extension</t>
  </si>
  <si>
    <t>4/1/2010</t>
  </si>
  <si>
    <t>5/24/2026</t>
  </si>
  <si>
    <t>6/1/2022</t>
  </si>
  <si>
    <t>5/31/2026</t>
  </si>
  <si>
    <t>6/20/2017</t>
  </si>
  <si>
    <t>4/1/2019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</si>
</sst>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_);_(&quot;$&quot;* \(#,##0\);_(&quot;$&quot;* &quot;-&quot;??_);_(@_)"/>
    <numFmt numFmtId="165" formatCode="&quot;$&quot;#,##0.00"/>
    <numFmt numFmtId="166" formatCode="_(&quot;$&quot;* #,##0.00_);_(&quot;$&quot;* \(#,##0.00\);_(&quot;$&quot;* &quot;-&quot;??_);_(@_)"/>
    <numFmt numFmtId="167" formatCode="0.0%"/>
    <numFmt numFmtId="168" formatCode="$#,##0.00"/>
  </numFmts>
  <fonts count="22">
    <font>
      <sz val="11.0"/>
      <color theme="1"/>
      <name val="Calibri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0000"/>
      <name val="Calibri"/>
    </font>
    <font>
      <b/>
      <sz val="13.0"/>
      <color theme="1"/>
      <name val="Calibri"/>
    </font>
    <font>
      <sz val="13.0"/>
      <color theme="1"/>
      <name val="Times New Roman"/>
    </font>
    <font>
      <sz val="13.0"/>
      <color rgb="FFFF0000"/>
      <name val="Calibri"/>
    </font>
    <font>
      <b/>
      <sz val="13.0"/>
      <color theme="1"/>
      <name val="Arial"/>
    </font>
    <font>
      <b/>
      <color theme="1"/>
      <name val="Arial"/>
    </font>
    <font/>
    <font>
      <b/>
      <sz val="14.0"/>
      <color rgb="FF2F5496"/>
      <name val="Calibri"/>
      <scheme val="minor"/>
    </font>
    <font>
      <b/>
      <sz val="12.0"/>
      <color rgb="FF2F5496"/>
      <name val="Calibri"/>
      <scheme val="minor"/>
    </font>
    <font>
      <i/>
      <sz val="10.0"/>
      <color rgb="FF666666"/>
      <name val="Calibri"/>
      <scheme val="minor"/>
    </font>
    <font>
      <b/>
      <sz val="11.0"/>
      <color rgb="FFFFFFFF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theme="4"/>
        <bgColor theme="4"/>
      </patternFill>
    </fill>
    <fill>
      <patternFill patternType="solid">
        <fgColor rgb="FFD6E4F0"/>
        <bgColor rgb="FFD6E4F0"/>
      </patternFill>
    </fill>
    <fill>
      <patternFill patternType="solid">
        <fgColor rgb="FFCFE2F3"/>
        <bgColor rgb="FFCFE2F3"/>
      </patternFill>
    </fill>
    <fill>
      <patternFill patternType="solid">
        <fgColor rgb="FF2F5496"/>
        <bgColor rgb="FF2F5496"/>
      </patternFill>
    </fill>
  </fills>
  <borders count="19">
    <border/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3" numFmtId="37" xfId="0" applyAlignment="1" applyFont="1" applyNumberFormat="1">
      <alignment horizontal="center" vertical="bottom"/>
    </xf>
    <xf borderId="0" fillId="0" fontId="3" numFmtId="37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2" fontId="1" numFmtId="164" xfId="0" applyAlignment="1" applyFill="1" applyFont="1" applyNumberFormat="1">
      <alignment readingOrder="0" vertical="bottom"/>
    </xf>
    <xf borderId="0" fillId="2" fontId="1" numFmtId="164" xfId="0" applyAlignment="1" applyFont="1" applyNumberFormat="1">
      <alignment vertical="bottom"/>
    </xf>
    <xf borderId="1" fillId="3" fontId="2" numFmtId="0" xfId="0" applyAlignment="1" applyBorder="1" applyFill="1" applyFont="1">
      <alignment vertical="bottom"/>
    </xf>
    <xf borderId="1" fillId="3" fontId="1" numFmtId="3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9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right" vertical="bottom"/>
    </xf>
    <xf borderId="1" fillId="3" fontId="1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vertical="top"/>
    </xf>
    <xf borderId="0" fillId="2" fontId="5" numFmtId="164" xfId="0" applyAlignment="1" applyFont="1" applyNumberFormat="1">
      <alignment horizontal="right" readingOrder="0" vertical="bottom"/>
    </xf>
    <xf borderId="0" fillId="2" fontId="5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top"/>
    </xf>
    <xf borderId="1" fillId="3" fontId="1" numFmtId="166" xfId="0" applyAlignment="1" applyBorder="1" applyFont="1" applyNumberFormat="1">
      <alignment vertical="bottom"/>
    </xf>
    <xf borderId="1" fillId="3" fontId="7" numFmtId="0" xfId="0" applyAlignment="1" applyBorder="1" applyFont="1">
      <alignment vertical="bottom"/>
    </xf>
    <xf borderId="1" fillId="3" fontId="7" numFmtId="164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164" xfId="0" applyAlignment="1" applyFont="1" applyNumberFormat="1">
      <alignment horizontal="center" vertical="bottom"/>
    </xf>
    <xf borderId="0" fillId="0" fontId="1" numFmtId="4" xfId="0" applyAlignment="1" applyFont="1" applyNumberFormat="1">
      <alignment vertical="top"/>
    </xf>
    <xf borderId="2" fillId="3" fontId="7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2" fillId="3" fontId="7" numFmtId="164" xfId="0" applyAlignment="1" applyBorder="1" applyFont="1" applyNumberFormat="1">
      <alignment horizontal="center" vertical="bottom"/>
    </xf>
    <xf borderId="0" fillId="0" fontId="1" numFmtId="9" xfId="0" applyAlignment="1" applyFont="1" applyNumberFormat="1">
      <alignment vertical="bottom"/>
    </xf>
    <xf borderId="3" fillId="0" fontId="7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7" numFmtId="10" xfId="0" applyAlignment="1" applyBorder="1" applyFont="1" applyNumberFormat="1">
      <alignment horizontal="center" vertical="bottom"/>
    </xf>
    <xf borderId="6" fillId="0" fontId="7" numFmtId="0" xfId="0" applyAlignment="1" applyBorder="1" applyFont="1">
      <alignment vertical="bottom"/>
    </xf>
    <xf borderId="7" fillId="0" fontId="7" numFmtId="10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0" fillId="0" fontId="7" numFmtId="4" xfId="0" applyAlignment="1" applyBorder="1" applyFont="1" applyNumberFormat="1">
      <alignment horizontal="center" vertical="bottom"/>
    </xf>
    <xf borderId="11" fillId="0" fontId="10" numFmtId="0" xfId="0" applyAlignment="1" applyBorder="1" applyFont="1">
      <alignment vertical="top"/>
    </xf>
    <xf borderId="11" fillId="0" fontId="10" numFmtId="164" xfId="0" applyAlignment="1" applyBorder="1" applyFont="1" applyNumberFormat="1">
      <alignment horizontal="right" vertical="top"/>
    </xf>
    <xf borderId="11" fillId="0" fontId="10" numFmtId="165" xfId="0" applyAlignment="1" applyBorder="1" applyFont="1" applyNumberFormat="1">
      <alignment horizontal="right" vertical="top"/>
    </xf>
    <xf borderId="11" fillId="2" fontId="10" numFmtId="165" xfId="0" applyAlignment="1" applyBorder="1" applyFont="1" applyNumberFormat="1">
      <alignment horizontal="right" vertical="top"/>
    </xf>
    <xf borderId="11" fillId="0" fontId="10" numFmtId="165" xfId="0" applyAlignment="1" applyBorder="1" applyFont="1" applyNumberFormat="1">
      <alignment horizontal="right" readingOrder="0" vertical="top"/>
    </xf>
    <xf borderId="11" fillId="0" fontId="1" numFmtId="0" xfId="0" applyAlignment="1" applyBorder="1" applyFont="1">
      <alignment vertical="top"/>
    </xf>
    <xf borderId="11" fillId="0" fontId="10" numFmtId="10" xfId="0" applyAlignment="1" applyBorder="1" applyFont="1" applyNumberFormat="1">
      <alignment horizontal="right" vertical="top"/>
    </xf>
    <xf borderId="0" fillId="0" fontId="1" numFmtId="0" xfId="0" applyFont="1"/>
    <xf borderId="11" fillId="0" fontId="11" numFmtId="165" xfId="0" applyAlignment="1" applyBorder="1" applyFont="1" applyNumberFormat="1">
      <alignment readingOrder="0" vertical="top"/>
    </xf>
    <xf borderId="11" fillId="0" fontId="11" numFmtId="165" xfId="0" applyAlignment="1" applyBorder="1" applyFont="1" applyNumberFormat="1">
      <alignment vertical="top"/>
    </xf>
    <xf borderId="0" fillId="0" fontId="1" numFmtId="165" xfId="0" applyAlignment="1" applyFont="1" applyNumberFormat="1">
      <alignment vertical="top"/>
    </xf>
    <xf borderId="0" fillId="0" fontId="1" numFmtId="10" xfId="0" applyAlignment="1" applyFont="1" applyNumberFormat="1">
      <alignment vertical="top"/>
    </xf>
    <xf borderId="12" fillId="0" fontId="11" numFmtId="0" xfId="0" applyAlignment="1" applyBorder="1" applyFont="1">
      <alignment horizontal="center" vertical="center"/>
    </xf>
    <xf borderId="13" fillId="0" fontId="12" numFmtId="0" xfId="0" applyBorder="1" applyFont="1"/>
    <xf borderId="14" fillId="0" fontId="11" numFmtId="165" xfId="0" applyAlignment="1" applyBorder="1" applyFont="1" applyNumberFormat="1">
      <alignment horizontal="right" vertical="top"/>
    </xf>
    <xf borderId="11" fillId="0" fontId="11" numFmtId="10" xfId="0" applyAlignment="1" applyBorder="1" applyFont="1" applyNumberFormat="1">
      <alignment horizontal="right" vertical="top"/>
    </xf>
    <xf borderId="15" fillId="0" fontId="12" numFmtId="0" xfId="0" applyBorder="1" applyFont="1"/>
    <xf borderId="16" fillId="0" fontId="12" numFmtId="0" xfId="0" applyBorder="1" applyFont="1"/>
    <xf borderId="17" fillId="0" fontId="12" numFmtId="0" xfId="0" applyBorder="1" applyFont="1"/>
    <xf borderId="18" fillId="0" fontId="12" numFmtId="0" xfId="0" applyBorder="1" applyFont="1"/>
    <xf borderId="11" fillId="0" fontId="11" numFmtId="0" xfId="0" applyAlignment="1" applyBorder="1" applyFont="1">
      <alignment vertical="top"/>
    </xf>
    <xf borderId="0" fillId="0" fontId="1" numFmtId="165" xfId="0" applyAlignment="1" applyFont="1" applyNumberFormat="1">
      <alignment horizontal="right" readingOrder="0" vertical="top"/>
    </xf>
    <xf borderId="0" fillId="0" fontId="13" numFmtId="0" xfId="0" applyFont="1"/>
    <xf borderId="0" fillId="0" fontId="14" numFmtId="0" xfId="0" applyFont="1"/>
    <xf borderId="0" fillId="0" fontId="15" numFmtId="0" xfId="0" applyFont="1"/>
    <xf borderId="11" fillId="4" fontId="16" numFmtId="0" xfId="0" applyAlignment="1" applyBorder="1" applyFill="1" applyFont="1">
      <alignment horizontal="center" shrinkToFit="0" wrapText="1"/>
    </xf>
    <xf borderId="11" fillId="4" fontId="16" numFmtId="0" xfId="0" applyAlignment="1" applyBorder="1" applyFont="1">
      <alignment horizontal="center" readingOrder="0" shrinkToFit="0" wrapText="1"/>
    </xf>
    <xf borderId="11" fillId="4" fontId="17" numFmtId="0" xfId="0" applyAlignment="1" applyBorder="1" applyFont="1">
      <alignment readingOrder="0"/>
    </xf>
    <xf borderId="11" fillId="0" fontId="18" numFmtId="0" xfId="0" applyAlignment="1" applyBorder="1" applyFont="1">
      <alignment horizontal="center"/>
    </xf>
    <xf borderId="11" fillId="2" fontId="18" numFmtId="0" xfId="0" applyAlignment="1" applyBorder="1" applyFont="1">
      <alignment horizontal="center"/>
    </xf>
    <xf borderId="11" fillId="0" fontId="18" numFmtId="168" xfId="0" applyAlignment="1" applyBorder="1" applyFont="1" applyNumberFormat="1">
      <alignment horizontal="center"/>
    </xf>
    <xf borderId="11" fillId="0" fontId="19" numFmtId="165" xfId="0" applyBorder="1" applyFont="1" applyNumberFormat="1"/>
    <xf borderId="11" fillId="0" fontId="19" numFmtId="165" xfId="0" applyBorder="1" applyFont="1" applyNumberFormat="1"/>
    <xf borderId="11" fillId="0" fontId="18" numFmtId="168" xfId="0" applyAlignment="1" applyBorder="1" applyFont="1" applyNumberFormat="1">
      <alignment horizontal="center" readingOrder="0"/>
    </xf>
    <xf borderId="11" fillId="5" fontId="20" numFmtId="0" xfId="0" applyBorder="1" applyFill="1" applyFont="1"/>
    <xf borderId="11" fillId="5" fontId="18" numFmtId="0" xfId="0" applyBorder="1" applyFont="1"/>
    <xf borderId="11" fillId="5" fontId="20" numFmtId="3" xfId="0" applyAlignment="1" applyBorder="1" applyFont="1" applyNumberFormat="1">
      <alignment horizontal="center"/>
    </xf>
    <xf borderId="11" fillId="5" fontId="20" numFmtId="168" xfId="0" applyAlignment="1" applyBorder="1" applyFont="1" applyNumberFormat="1">
      <alignment horizontal="center"/>
    </xf>
    <xf borderId="11" fillId="6" fontId="21" numFmtId="165" xfId="0" applyBorder="1" applyFill="1" applyFont="1" applyNumberFormat="1"/>
    <xf borderId="0" fillId="0" fontId="19" numFmtId="165" xfId="0" applyFont="1" applyNumberFormat="1"/>
    <xf borderId="0" fillId="0" fontId="19" numFmtId="165" xfId="0" applyFont="1" applyNumberFormat="1"/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11" fillId="7" fontId="16" numFmtId="0" xfId="0" applyAlignment="1" applyBorder="1" applyFill="1" applyFont="1">
      <alignment horizontal="center" shrinkToFit="0" wrapText="1"/>
    </xf>
    <xf borderId="11" fillId="2" fontId="18" numFmtId="168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57"/>
    <col customWidth="1" min="5" max="5" width="18.0"/>
    <col hidden="1" min="12" max="14" width="1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>
      <c r="A2" s="2"/>
      <c r="B2" s="2"/>
      <c r="C2" s="3" t="s">
        <v>0</v>
      </c>
      <c r="D2" s="4" t="s">
        <v>1</v>
      </c>
      <c r="E2" s="2"/>
      <c r="F2" s="2"/>
      <c r="G2" s="2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3" t="s">
        <v>2</v>
      </c>
      <c r="D3" s="6">
        <f>D6/D4</f>
        <v>307.9431211</v>
      </c>
      <c r="E3" s="2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3" t="s">
        <v>3</v>
      </c>
      <c r="D4" s="8">
        <f>'Current Rent Roll'!C17</f>
        <v>11041</v>
      </c>
      <c r="E4" s="2"/>
      <c r="F4" s="2"/>
      <c r="G4" s="2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3" t="s">
        <v>4</v>
      </c>
      <c r="D5" s="9">
        <v>11.0</v>
      </c>
      <c r="E5" s="2"/>
      <c r="F5" s="2"/>
      <c r="G5" s="2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3" t="s">
        <v>5</v>
      </c>
      <c r="D6" s="11">
        <v>3400000.0</v>
      </c>
      <c r="E6" s="12">
        <f>100%</f>
        <v>1</v>
      </c>
      <c r="F6" s="2"/>
      <c r="G6" s="2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3" t="s">
        <v>6</v>
      </c>
      <c r="D7" s="13">
        <f>D6-D8</f>
        <v>2200000</v>
      </c>
      <c r="E7" s="12">
        <f>D7/D6</f>
        <v>0.6470588235</v>
      </c>
      <c r="F7" s="2"/>
      <c r="G7" s="2"/>
      <c r="H7" s="1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3" t="s">
        <v>7</v>
      </c>
      <c r="D8" s="11">
        <v>1200000.0</v>
      </c>
      <c r="E8" s="12">
        <f>D8/D6</f>
        <v>0.3529411765</v>
      </c>
      <c r="F8" s="2"/>
      <c r="G8" s="2"/>
      <c r="H8" s="1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3" t="s">
        <v>8</v>
      </c>
      <c r="D9" s="13">
        <v>40000.0</v>
      </c>
      <c r="E9" s="14">
        <f>D9/D6</f>
        <v>0.01176470588</v>
      </c>
      <c r="F9" s="2"/>
      <c r="G9" s="2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3" t="s">
        <v>9</v>
      </c>
      <c r="D10" s="13">
        <f>D6*E10</f>
        <v>68000</v>
      </c>
      <c r="E10" s="12">
        <v>0.02</v>
      </c>
      <c r="F10" s="2"/>
      <c r="G10" s="2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3" t="s">
        <v>10</v>
      </c>
      <c r="D11" s="11">
        <v>342000.0</v>
      </c>
      <c r="E11" s="14">
        <f>D11/D6</f>
        <v>0.1005882353</v>
      </c>
      <c r="F11" s="2"/>
      <c r="G11" s="2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3" t="s">
        <v>11</v>
      </c>
      <c r="D12" s="13">
        <f>SUM(D8:D11)</f>
        <v>1650000</v>
      </c>
      <c r="E12" s="14">
        <f>E6+E9</f>
        <v>1.011764706</v>
      </c>
      <c r="F12" s="2"/>
      <c r="G12" s="2"/>
      <c r="H12" s="1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3" t="s">
        <v>12</v>
      </c>
      <c r="D13" s="15">
        <v>0.055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3" t="s">
        <v>13</v>
      </c>
      <c r="D14" s="16" t="s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</row>
    <row r="17">
      <c r="A17" s="1"/>
      <c r="B17" s="1"/>
      <c r="C17" s="3" t="s">
        <v>15</v>
      </c>
      <c r="D17" s="2"/>
      <c r="E17" s="17" t="s">
        <v>16</v>
      </c>
      <c r="F17" s="18" t="s">
        <v>17</v>
      </c>
      <c r="G17" s="19" t="s">
        <v>18</v>
      </c>
      <c r="H17" s="19" t="s">
        <v>19</v>
      </c>
      <c r="I17" s="19" t="s">
        <v>20</v>
      </c>
      <c r="J17" s="19" t="s">
        <v>21</v>
      </c>
      <c r="K17" s="19" t="s">
        <v>22</v>
      </c>
      <c r="L17" s="19" t="s">
        <v>23</v>
      </c>
      <c r="M17" s="19" t="s">
        <v>24</v>
      </c>
      <c r="N17" s="19" t="s">
        <v>25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</row>
    <row r="18">
      <c r="A18" s="1"/>
      <c r="B18" s="1"/>
      <c r="C18" s="2"/>
      <c r="D18" s="2"/>
      <c r="E18" s="5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</row>
    <row r="19">
      <c r="A19" s="1"/>
      <c r="B19" s="1"/>
      <c r="C19" s="20" t="s">
        <v>26</v>
      </c>
      <c r="D19" s="21"/>
      <c r="E19" s="22">
        <f>'7 YR - Rent Roll'!F17</f>
        <v>265112</v>
      </c>
      <c r="F19" s="22">
        <f>'7 YR - Rent Roll'!G17</f>
        <v>271729.5</v>
      </c>
      <c r="G19" s="22">
        <f>'7 YR - Rent Roll'!H17</f>
        <v>285315.975</v>
      </c>
      <c r="H19" s="23">
        <f>'7 YR - Rent Roll'!I17</f>
        <v>299581.7738</v>
      </c>
      <c r="I19" s="22">
        <f>'7 YR - Rent Roll'!J17</f>
        <v>314560.8624</v>
      </c>
      <c r="J19" s="22">
        <f>'7 YR - Rent Roll'!K17</f>
        <v>330288.9056</v>
      </c>
      <c r="K19" s="22">
        <f>'7 YR - Rent Roll'!L17</f>
        <v>346803.3508</v>
      </c>
      <c r="L19" s="22">
        <f>'7 YR - Rent Roll'!M17</f>
        <v>364143.5184</v>
      </c>
      <c r="M19" s="22">
        <f>'7 YR - Rent Roll'!N17</f>
        <v>382350.6943</v>
      </c>
      <c r="N19" s="22">
        <f>'7 YR - Rent Roll'!O17</f>
        <v>401468.229</v>
      </c>
      <c r="O19" s="22" t="str">
        <f>'7 YR - Rent Roll'!P17</f>
        <v/>
      </c>
      <c r="P19" s="22" t="str">
        <f>'7 YR - Rent Roll'!Q17</f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</row>
    <row r="20">
      <c r="A20" s="1"/>
      <c r="B20" s="1"/>
      <c r="C20" s="20" t="s">
        <v>27</v>
      </c>
      <c r="D20" s="21"/>
      <c r="E20" s="24">
        <f>0.5*8.74*D4</f>
        <v>48249.17</v>
      </c>
      <c r="F20" s="24">
        <v>118000.0</v>
      </c>
      <c r="G20" s="24">
        <v>122000.0</v>
      </c>
      <c r="H20" s="22">
        <f t="shared" ref="H20:N20" si="1">1.03*G20</f>
        <v>125660</v>
      </c>
      <c r="I20" s="22">
        <f t="shared" si="1"/>
        <v>129429.8</v>
      </c>
      <c r="J20" s="22">
        <f t="shared" si="1"/>
        <v>133312.694</v>
      </c>
      <c r="K20" s="22">
        <f t="shared" si="1"/>
        <v>137312.0748</v>
      </c>
      <c r="L20" s="22">
        <f t="shared" si="1"/>
        <v>141431.4371</v>
      </c>
      <c r="M20" s="22">
        <f t="shared" si="1"/>
        <v>145674.3802</v>
      </c>
      <c r="N20" s="22">
        <f t="shared" si="1"/>
        <v>150044.6116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</row>
    <row r="21">
      <c r="A21" s="1"/>
      <c r="B21" s="1"/>
      <c r="C21" s="2"/>
      <c r="D21" s="21"/>
      <c r="E21" s="25"/>
      <c r="F21" s="25"/>
      <c r="G21" s="25"/>
      <c r="H21" s="26"/>
      <c r="I21" s="26"/>
      <c r="J21" s="26"/>
      <c r="K21" s="2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</row>
    <row r="22">
      <c r="A22" s="1"/>
      <c r="B22" s="1"/>
      <c r="C22" s="27" t="s">
        <v>28</v>
      </c>
      <c r="D22" s="28"/>
      <c r="E22" s="29">
        <f t="shared" ref="E22:N22" si="2">SUM(E19:E20)</f>
        <v>313361.17</v>
      </c>
      <c r="F22" s="29">
        <f t="shared" si="2"/>
        <v>389729.5</v>
      </c>
      <c r="G22" s="29">
        <f t="shared" si="2"/>
        <v>407315.975</v>
      </c>
      <c r="H22" s="29">
        <f t="shared" si="2"/>
        <v>425241.7738</v>
      </c>
      <c r="I22" s="29">
        <f t="shared" si="2"/>
        <v>443990.6624</v>
      </c>
      <c r="J22" s="29">
        <f t="shared" si="2"/>
        <v>463601.5996</v>
      </c>
      <c r="K22" s="29">
        <f t="shared" si="2"/>
        <v>484115.4257</v>
      </c>
      <c r="L22" s="29">
        <f t="shared" si="2"/>
        <v>505574.9554</v>
      </c>
      <c r="M22" s="29">
        <f t="shared" si="2"/>
        <v>528025.0745</v>
      </c>
      <c r="N22" s="29">
        <f t="shared" si="2"/>
        <v>551512.8406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</row>
    <row r="23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</row>
    <row r="24">
      <c r="A24" s="1"/>
      <c r="B24" s="1"/>
      <c r="C24" s="30" t="s">
        <v>29</v>
      </c>
      <c r="D24" s="31">
        <v>0.05</v>
      </c>
      <c r="E24" s="32">
        <v>0.0</v>
      </c>
      <c r="F24" s="32">
        <f t="shared" ref="F24:N24" si="3">F22*$D$24*-1</f>
        <v>-19486.475</v>
      </c>
      <c r="G24" s="32">
        <f t="shared" si="3"/>
        <v>-20365.79875</v>
      </c>
      <c r="H24" s="32">
        <f t="shared" si="3"/>
        <v>-21262.08869</v>
      </c>
      <c r="I24" s="32">
        <f t="shared" si="3"/>
        <v>-22199.53312</v>
      </c>
      <c r="J24" s="32">
        <f t="shared" si="3"/>
        <v>-23180.07998</v>
      </c>
      <c r="K24" s="32">
        <f t="shared" si="3"/>
        <v>-24205.77128</v>
      </c>
      <c r="L24" s="32">
        <f t="shared" si="3"/>
        <v>-25278.74777</v>
      </c>
      <c r="M24" s="32">
        <f t="shared" si="3"/>
        <v>-26401.25372</v>
      </c>
      <c r="N24" s="32">
        <f t="shared" si="3"/>
        <v>-27575.64203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r="25">
      <c r="A25" s="1"/>
      <c r="B25" s="1"/>
      <c r="C25" s="2"/>
      <c r="D25" s="2"/>
      <c r="E25" s="10"/>
      <c r="F25" s="10"/>
      <c r="G25" s="10"/>
      <c r="H25" s="10"/>
      <c r="I25" s="10"/>
      <c r="J25" s="10"/>
      <c r="K25" s="1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</row>
    <row r="26">
      <c r="A26" s="1"/>
      <c r="B26" s="1"/>
      <c r="C26" s="27" t="s">
        <v>30</v>
      </c>
      <c r="D26" s="33"/>
      <c r="E26" s="29">
        <f t="shared" ref="E26:N26" si="4">E22+E24</f>
        <v>313361.17</v>
      </c>
      <c r="F26" s="29">
        <f t="shared" si="4"/>
        <v>370243.025</v>
      </c>
      <c r="G26" s="29">
        <f t="shared" si="4"/>
        <v>386950.1763</v>
      </c>
      <c r="H26" s="29">
        <f t="shared" si="4"/>
        <v>403979.6851</v>
      </c>
      <c r="I26" s="29">
        <f t="shared" si="4"/>
        <v>421791.1293</v>
      </c>
      <c r="J26" s="29">
        <f t="shared" si="4"/>
        <v>440421.5196</v>
      </c>
      <c r="K26" s="29">
        <f t="shared" si="4"/>
        <v>459909.6544</v>
      </c>
      <c r="L26" s="29">
        <f t="shared" si="4"/>
        <v>480296.2077</v>
      </c>
      <c r="M26" s="29">
        <f t="shared" si="4"/>
        <v>501623.8208</v>
      </c>
      <c r="N26" s="29">
        <f t="shared" si="4"/>
        <v>523937.1986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</row>
    <row r="27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</row>
    <row r="28">
      <c r="A28" s="1"/>
      <c r="B28" s="1"/>
      <c r="C28" s="3" t="s">
        <v>31</v>
      </c>
      <c r="D28" s="2"/>
      <c r="E28" s="2"/>
      <c r="F28" s="2"/>
      <c r="G28" s="2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</row>
    <row r="29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</row>
    <row r="30">
      <c r="A30" s="1"/>
      <c r="B30" s="1"/>
      <c r="C30" s="20" t="s">
        <v>32</v>
      </c>
      <c r="D30" s="2"/>
      <c r="E30" s="34">
        <v>1000.0</v>
      </c>
      <c r="F30" s="34">
        <v>1000.0</v>
      </c>
      <c r="G30" s="34">
        <v>1000.0</v>
      </c>
      <c r="H30" s="34">
        <v>1000.0</v>
      </c>
      <c r="I30" s="34">
        <v>1000.0</v>
      </c>
      <c r="J30" s="34">
        <v>1000.0</v>
      </c>
      <c r="K30" s="34">
        <v>1000.0</v>
      </c>
      <c r="L30" s="34">
        <v>1000.0</v>
      </c>
      <c r="M30" s="34">
        <v>1000.0</v>
      </c>
      <c r="N30" s="34">
        <v>1000.0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</row>
    <row r="31">
      <c r="A31" s="1"/>
      <c r="B31" s="1"/>
      <c r="C31" s="20" t="s">
        <v>33</v>
      </c>
      <c r="D31" s="2"/>
      <c r="E31" s="34">
        <v>1200.0</v>
      </c>
      <c r="F31" s="34">
        <v>1200.0</v>
      </c>
      <c r="G31" s="34">
        <v>1200.0</v>
      </c>
      <c r="H31" s="34">
        <v>1200.0</v>
      </c>
      <c r="I31" s="34">
        <v>1200.0</v>
      </c>
      <c r="J31" s="34">
        <v>1200.0</v>
      </c>
      <c r="K31" s="34">
        <v>1200.0</v>
      </c>
      <c r="L31" s="34">
        <v>1200.0</v>
      </c>
      <c r="M31" s="34">
        <v>1200.0</v>
      </c>
      <c r="N31" s="34">
        <v>1200.0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</row>
    <row r="32">
      <c r="A32" s="1"/>
      <c r="B32" s="1"/>
      <c r="C32" s="35" t="s">
        <v>34</v>
      </c>
      <c r="D32" s="2"/>
      <c r="E32" s="34">
        <f>E26*0.05</f>
        <v>15668.0585</v>
      </c>
      <c r="F32" s="34">
        <f t="shared" ref="F32:N32" si="5">F26*0.06</f>
        <v>22214.5815</v>
      </c>
      <c r="G32" s="34">
        <f t="shared" si="5"/>
        <v>23217.01058</v>
      </c>
      <c r="H32" s="34">
        <f t="shared" si="5"/>
        <v>24238.7811</v>
      </c>
      <c r="I32" s="34">
        <f t="shared" si="5"/>
        <v>25307.46776</v>
      </c>
      <c r="J32" s="34">
        <f t="shared" si="5"/>
        <v>26425.29117</v>
      </c>
      <c r="K32" s="34">
        <f t="shared" si="5"/>
        <v>27594.57926</v>
      </c>
      <c r="L32" s="34">
        <f t="shared" si="5"/>
        <v>28817.77246</v>
      </c>
      <c r="M32" s="34">
        <f t="shared" si="5"/>
        <v>30097.42925</v>
      </c>
      <c r="N32" s="34">
        <f t="shared" si="5"/>
        <v>31436.23191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</row>
    <row r="33">
      <c r="A33" s="1"/>
      <c r="B33" s="1"/>
      <c r="C33" s="35" t="s">
        <v>35</v>
      </c>
      <c r="D33" s="2"/>
      <c r="E33" s="36">
        <v>6000.0</v>
      </c>
      <c r="F33" s="34">
        <f t="shared" ref="F33:N33" si="6">F26*0.02</f>
        <v>7404.8605</v>
      </c>
      <c r="G33" s="34">
        <f t="shared" si="6"/>
        <v>7739.003525</v>
      </c>
      <c r="H33" s="34">
        <f t="shared" si="6"/>
        <v>8079.593701</v>
      </c>
      <c r="I33" s="34">
        <f t="shared" si="6"/>
        <v>8435.822586</v>
      </c>
      <c r="J33" s="34">
        <f t="shared" si="6"/>
        <v>8808.430392</v>
      </c>
      <c r="K33" s="34">
        <f t="shared" si="6"/>
        <v>9198.193087</v>
      </c>
      <c r="L33" s="34">
        <f t="shared" si="6"/>
        <v>9605.924153</v>
      </c>
      <c r="M33" s="34">
        <f t="shared" si="6"/>
        <v>10032.47642</v>
      </c>
      <c r="N33" s="34">
        <f t="shared" si="6"/>
        <v>10478.74397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</row>
    <row r="34">
      <c r="A34" s="37"/>
      <c r="B34" s="1"/>
      <c r="C34" s="20" t="s">
        <v>36</v>
      </c>
      <c r="D34" s="2"/>
      <c r="E34" s="38">
        <v>38000.0</v>
      </c>
      <c r="F34" s="39">
        <f>0.015*D6</f>
        <v>51000</v>
      </c>
      <c r="G34" s="39">
        <f t="shared" ref="G34:N34" si="7">F34*1.03</f>
        <v>52530</v>
      </c>
      <c r="H34" s="39">
        <f t="shared" si="7"/>
        <v>54105.9</v>
      </c>
      <c r="I34" s="39">
        <f t="shared" si="7"/>
        <v>55729.077</v>
      </c>
      <c r="J34" s="39">
        <f t="shared" si="7"/>
        <v>57400.94931</v>
      </c>
      <c r="K34" s="39">
        <f t="shared" si="7"/>
        <v>59122.97779</v>
      </c>
      <c r="L34" s="39">
        <f t="shared" si="7"/>
        <v>60896.66712</v>
      </c>
      <c r="M34" s="39">
        <f t="shared" si="7"/>
        <v>62723.56714</v>
      </c>
      <c r="N34" s="39">
        <f t="shared" si="7"/>
        <v>64605.27415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</row>
    <row r="35">
      <c r="A35" s="40"/>
      <c r="B35" s="40"/>
      <c r="C35" s="20" t="s">
        <v>37</v>
      </c>
      <c r="D35" s="2"/>
      <c r="E35" s="39">
        <f>1.6*D4</f>
        <v>17665.6</v>
      </c>
      <c r="F35" s="39">
        <f t="shared" ref="F35:N35" si="8">E35*1.03</f>
        <v>18195.568</v>
      </c>
      <c r="G35" s="39">
        <f t="shared" si="8"/>
        <v>18741.43504</v>
      </c>
      <c r="H35" s="39">
        <f t="shared" si="8"/>
        <v>19303.67809</v>
      </c>
      <c r="I35" s="39">
        <f t="shared" si="8"/>
        <v>19882.78843</v>
      </c>
      <c r="J35" s="39">
        <f t="shared" si="8"/>
        <v>20479.27209</v>
      </c>
      <c r="K35" s="39">
        <f t="shared" si="8"/>
        <v>21093.65025</v>
      </c>
      <c r="L35" s="39">
        <f t="shared" si="8"/>
        <v>21726.45976</v>
      </c>
      <c r="M35" s="39">
        <f t="shared" si="8"/>
        <v>22378.25355</v>
      </c>
      <c r="N35" s="39">
        <f t="shared" si="8"/>
        <v>23049.60116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</row>
    <row r="36">
      <c r="A36" s="1"/>
      <c r="B36" s="1"/>
      <c r="C36" s="20" t="s">
        <v>38</v>
      </c>
      <c r="D36" s="2"/>
      <c r="E36" s="34">
        <v>500.0</v>
      </c>
      <c r="F36" s="34">
        <v>500.0</v>
      </c>
      <c r="G36" s="34">
        <v>500.0</v>
      </c>
      <c r="H36" s="34">
        <v>500.0</v>
      </c>
      <c r="I36" s="34">
        <v>500.0</v>
      </c>
      <c r="J36" s="34">
        <v>500.0</v>
      </c>
      <c r="K36" s="34">
        <v>500.0</v>
      </c>
      <c r="L36" s="34">
        <v>500.0</v>
      </c>
      <c r="M36" s="34">
        <v>500.0</v>
      </c>
      <c r="N36" s="34">
        <v>500.0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</row>
    <row r="37">
      <c r="A37" s="40"/>
      <c r="B37" s="1"/>
      <c r="C37" s="35" t="s">
        <v>39</v>
      </c>
      <c r="D37" s="2"/>
      <c r="E37" s="34">
        <v>2500.0</v>
      </c>
      <c r="F37" s="34">
        <f t="shared" ref="F37:N37" si="9">E37*1.03</f>
        <v>2575</v>
      </c>
      <c r="G37" s="34">
        <f t="shared" si="9"/>
        <v>2652.25</v>
      </c>
      <c r="H37" s="34">
        <f t="shared" si="9"/>
        <v>2731.8175</v>
      </c>
      <c r="I37" s="34">
        <f t="shared" si="9"/>
        <v>2813.772025</v>
      </c>
      <c r="J37" s="34">
        <f t="shared" si="9"/>
        <v>2898.185186</v>
      </c>
      <c r="K37" s="34">
        <f t="shared" si="9"/>
        <v>2985.130741</v>
      </c>
      <c r="L37" s="34">
        <f t="shared" si="9"/>
        <v>3074.684664</v>
      </c>
      <c r="M37" s="34">
        <f t="shared" si="9"/>
        <v>3166.925203</v>
      </c>
      <c r="N37" s="34">
        <f t="shared" si="9"/>
        <v>3261.93296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</row>
    <row r="38">
      <c r="A38" s="1"/>
      <c r="B38" s="1"/>
      <c r="C38" s="20" t="s">
        <v>40</v>
      </c>
      <c r="D38" s="5"/>
      <c r="E38" s="34">
        <v>5200.0</v>
      </c>
      <c r="F38" s="34">
        <f t="shared" ref="F38:N38" si="10">E38*1.03</f>
        <v>5356</v>
      </c>
      <c r="G38" s="34">
        <f t="shared" si="10"/>
        <v>5516.68</v>
      </c>
      <c r="H38" s="34">
        <f t="shared" si="10"/>
        <v>5682.1804</v>
      </c>
      <c r="I38" s="34">
        <f t="shared" si="10"/>
        <v>5852.645812</v>
      </c>
      <c r="J38" s="34">
        <f t="shared" si="10"/>
        <v>6028.225186</v>
      </c>
      <c r="K38" s="34">
        <f t="shared" si="10"/>
        <v>6209.071942</v>
      </c>
      <c r="L38" s="34">
        <f t="shared" si="10"/>
        <v>6395.3441</v>
      </c>
      <c r="M38" s="34">
        <f t="shared" si="10"/>
        <v>6587.204423</v>
      </c>
      <c r="N38" s="34">
        <f t="shared" si="10"/>
        <v>6784.820556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</row>
    <row r="39">
      <c r="A39" s="40"/>
      <c r="B39" s="1"/>
      <c r="C39" s="20" t="s">
        <v>41</v>
      </c>
      <c r="D39" s="2"/>
      <c r="E39" s="34">
        <v>650.0</v>
      </c>
      <c r="F39" s="34">
        <f t="shared" ref="F39:N39" si="11">E39*1.03</f>
        <v>669.5</v>
      </c>
      <c r="G39" s="34">
        <f t="shared" si="11"/>
        <v>689.585</v>
      </c>
      <c r="H39" s="34">
        <f t="shared" si="11"/>
        <v>710.27255</v>
      </c>
      <c r="I39" s="34">
        <f t="shared" si="11"/>
        <v>731.5807265</v>
      </c>
      <c r="J39" s="34">
        <f t="shared" si="11"/>
        <v>753.5281483</v>
      </c>
      <c r="K39" s="34">
        <f t="shared" si="11"/>
        <v>776.1339927</v>
      </c>
      <c r="L39" s="34">
        <f t="shared" si="11"/>
        <v>799.4180125</v>
      </c>
      <c r="M39" s="34">
        <f t="shared" si="11"/>
        <v>823.4005529</v>
      </c>
      <c r="N39" s="34">
        <f t="shared" si="11"/>
        <v>848.1025695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</row>
    <row r="40">
      <c r="A40" s="1"/>
      <c r="B40" s="1"/>
      <c r="C40" s="20" t="s">
        <v>42</v>
      </c>
      <c r="D40" s="2"/>
      <c r="E40" s="34"/>
      <c r="F40" s="36">
        <v>10000.0</v>
      </c>
      <c r="G40" s="34">
        <f t="shared" ref="G40:N40" si="12">F40*1.03</f>
        <v>10300</v>
      </c>
      <c r="H40" s="34">
        <f t="shared" si="12"/>
        <v>10609</v>
      </c>
      <c r="I40" s="34">
        <f t="shared" si="12"/>
        <v>10927.27</v>
      </c>
      <c r="J40" s="34">
        <f t="shared" si="12"/>
        <v>11255.0881</v>
      </c>
      <c r="K40" s="34">
        <f t="shared" si="12"/>
        <v>11592.74074</v>
      </c>
      <c r="L40" s="34">
        <f t="shared" si="12"/>
        <v>11940.52297</v>
      </c>
      <c r="M40" s="34">
        <f t="shared" si="12"/>
        <v>12298.73865</v>
      </c>
      <c r="N40" s="34">
        <f t="shared" si="12"/>
        <v>12667.70081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</row>
    <row r="4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</row>
    <row r="42">
      <c r="A42" s="1"/>
      <c r="B42" s="1"/>
      <c r="C42" s="27" t="s">
        <v>43</v>
      </c>
      <c r="D42" s="41"/>
      <c r="E42" s="29">
        <f t="shared" ref="E42:N42" si="13">SUM(E30:E40)</f>
        <v>88383.6585</v>
      </c>
      <c r="F42" s="29">
        <f t="shared" si="13"/>
        <v>120115.51</v>
      </c>
      <c r="G42" s="29">
        <f t="shared" si="13"/>
        <v>124085.9641</v>
      </c>
      <c r="H42" s="29">
        <f t="shared" si="13"/>
        <v>128161.2233</v>
      </c>
      <c r="I42" s="29">
        <f t="shared" si="13"/>
        <v>132380.4243</v>
      </c>
      <c r="J42" s="29">
        <f t="shared" si="13"/>
        <v>136748.9696</v>
      </c>
      <c r="K42" s="29">
        <f t="shared" si="13"/>
        <v>141272.4778</v>
      </c>
      <c r="L42" s="29">
        <f t="shared" si="13"/>
        <v>145956.7932</v>
      </c>
      <c r="M42" s="29">
        <f t="shared" si="13"/>
        <v>150807.9952</v>
      </c>
      <c r="N42" s="29">
        <f t="shared" si="13"/>
        <v>155832.4081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</row>
    <row r="43">
      <c r="A43" s="1"/>
      <c r="B43" s="1"/>
      <c r="C43" s="2"/>
      <c r="D43" s="2"/>
      <c r="E43" s="5"/>
      <c r="F43" s="5"/>
      <c r="G43" s="5"/>
      <c r="H43" s="5"/>
      <c r="I43" s="5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</row>
    <row r="44">
      <c r="A44" s="1"/>
      <c r="B44" s="1"/>
      <c r="C44" s="42" t="s">
        <v>44</v>
      </c>
      <c r="D44" s="33"/>
      <c r="E44" s="43">
        <f t="shared" ref="E44:N44" si="14">E26-E42</f>
        <v>224977.5115</v>
      </c>
      <c r="F44" s="43">
        <f t="shared" si="14"/>
        <v>250127.515</v>
      </c>
      <c r="G44" s="43">
        <f t="shared" si="14"/>
        <v>262864.2121</v>
      </c>
      <c r="H44" s="43">
        <f t="shared" si="14"/>
        <v>275818.4617</v>
      </c>
      <c r="I44" s="43">
        <f t="shared" si="14"/>
        <v>289410.705</v>
      </c>
      <c r="J44" s="43">
        <f t="shared" si="14"/>
        <v>303672.55</v>
      </c>
      <c r="K44" s="43">
        <f t="shared" si="14"/>
        <v>318637.1766</v>
      </c>
      <c r="L44" s="43">
        <f t="shared" si="14"/>
        <v>334339.4144</v>
      </c>
      <c r="M44" s="43">
        <f t="shared" si="14"/>
        <v>350815.8256</v>
      </c>
      <c r="N44" s="43">
        <f t="shared" si="14"/>
        <v>368104.7905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</row>
    <row r="45">
      <c r="A45" s="1"/>
      <c r="B45" s="1"/>
      <c r="C45" s="2"/>
      <c r="D45" s="2"/>
      <c r="E45" s="5"/>
      <c r="F45" s="5"/>
      <c r="G45" s="5"/>
      <c r="H45" s="5"/>
      <c r="I45" s="5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</row>
    <row r="46">
      <c r="A46" s="1"/>
      <c r="B46" s="1"/>
      <c r="C46" s="44" t="s">
        <v>45</v>
      </c>
      <c r="D46" s="2"/>
      <c r="E46" s="45">
        <f t="shared" ref="E46:N46" si="15">-$D$13*$D$7</f>
        <v>-121000</v>
      </c>
      <c r="F46" s="45">
        <f t="shared" si="15"/>
        <v>-121000</v>
      </c>
      <c r="G46" s="45">
        <f t="shared" si="15"/>
        <v>-121000</v>
      </c>
      <c r="H46" s="45">
        <f t="shared" si="15"/>
        <v>-121000</v>
      </c>
      <c r="I46" s="45">
        <f t="shared" si="15"/>
        <v>-121000</v>
      </c>
      <c r="J46" s="45">
        <f t="shared" si="15"/>
        <v>-121000</v>
      </c>
      <c r="K46" s="45">
        <f t="shared" si="15"/>
        <v>-121000</v>
      </c>
      <c r="L46" s="45">
        <f t="shared" si="15"/>
        <v>-121000</v>
      </c>
      <c r="M46" s="45">
        <f t="shared" si="15"/>
        <v>-121000</v>
      </c>
      <c r="N46" s="45">
        <f t="shared" si="15"/>
        <v>-121000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</row>
    <row r="47">
      <c r="A47" s="1"/>
      <c r="B47" s="1"/>
      <c r="C47" s="2"/>
      <c r="D47" s="2"/>
      <c r="E47" s="5"/>
      <c r="F47" s="5"/>
      <c r="G47" s="5"/>
      <c r="H47" s="5"/>
      <c r="I47" s="5"/>
      <c r="J47" s="5"/>
      <c r="K47" s="5"/>
      <c r="L47" s="4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</row>
    <row r="48">
      <c r="A48" s="1"/>
      <c r="B48" s="1"/>
      <c r="C48" s="47" t="s">
        <v>46</v>
      </c>
      <c r="D48" s="48"/>
      <c r="E48" s="49">
        <f t="shared" ref="E48:N48" si="16">SUM(E44:E46)</f>
        <v>103977.5115</v>
      </c>
      <c r="F48" s="49">
        <f t="shared" si="16"/>
        <v>129127.515</v>
      </c>
      <c r="G48" s="49">
        <f t="shared" si="16"/>
        <v>141864.2121</v>
      </c>
      <c r="H48" s="49">
        <f t="shared" si="16"/>
        <v>154818.4617</v>
      </c>
      <c r="I48" s="49">
        <f t="shared" si="16"/>
        <v>168410.705</v>
      </c>
      <c r="J48" s="49">
        <f t="shared" si="16"/>
        <v>182672.55</v>
      </c>
      <c r="K48" s="49">
        <f t="shared" si="16"/>
        <v>197637.1766</v>
      </c>
      <c r="L48" s="49">
        <f t="shared" si="16"/>
        <v>213339.4144</v>
      </c>
      <c r="M48" s="49">
        <f t="shared" si="16"/>
        <v>229815.8256</v>
      </c>
      <c r="N48" s="49">
        <f t="shared" si="16"/>
        <v>247104.7905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</row>
    <row r="49">
      <c r="A49" s="1"/>
      <c r="B49" s="1"/>
      <c r="C49" s="2"/>
      <c r="D49" s="2"/>
      <c r="E49" s="5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</row>
    <row r="50">
      <c r="A50" s="1"/>
      <c r="B50" s="1"/>
      <c r="C50" s="51" t="s">
        <v>47</v>
      </c>
      <c r="D50" s="52"/>
      <c r="E50" s="53">
        <f>E44/(D6+D9)</f>
        <v>0.06540043939</v>
      </c>
      <c r="F50" s="53">
        <f t="shared" ref="F50:N50" si="17">F44/($D$6+$D$9)</f>
        <v>0.07271148692</v>
      </c>
      <c r="G50" s="53">
        <f t="shared" si="17"/>
        <v>0.07641401515</v>
      </c>
      <c r="H50" s="53">
        <f t="shared" si="17"/>
        <v>0.08017978538</v>
      </c>
      <c r="I50" s="53">
        <f t="shared" si="17"/>
        <v>0.08413101889</v>
      </c>
      <c r="J50" s="53">
        <f t="shared" si="17"/>
        <v>0.08827690407</v>
      </c>
      <c r="K50" s="53">
        <f t="shared" si="17"/>
        <v>0.09262708621</v>
      </c>
      <c r="L50" s="53">
        <f t="shared" si="17"/>
        <v>0.09719169024</v>
      </c>
      <c r="M50" s="53">
        <f t="shared" si="17"/>
        <v>0.1019813446</v>
      </c>
      <c r="N50" s="53">
        <f t="shared" si="17"/>
        <v>0.1070072065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</row>
    <row r="51">
      <c r="A51" s="1"/>
      <c r="B51" s="1"/>
      <c r="C51" s="54" t="s">
        <v>48</v>
      </c>
      <c r="D51" s="2"/>
      <c r="E51" s="55">
        <f t="shared" ref="E51:N51" si="18">E48/($D$12)</f>
        <v>0.06301667364</v>
      </c>
      <c r="F51" s="55">
        <f t="shared" si="18"/>
        <v>0.0782591</v>
      </c>
      <c r="G51" s="55">
        <f t="shared" si="18"/>
        <v>0.08597831037</v>
      </c>
      <c r="H51" s="55">
        <f t="shared" si="18"/>
        <v>0.09382937074</v>
      </c>
      <c r="I51" s="55">
        <f t="shared" si="18"/>
        <v>0.1020670939</v>
      </c>
      <c r="J51" s="55">
        <f t="shared" si="18"/>
        <v>0.1107106364</v>
      </c>
      <c r="K51" s="55">
        <f t="shared" si="18"/>
        <v>0.119780107</v>
      </c>
      <c r="L51" s="55">
        <f t="shared" si="18"/>
        <v>0.1292966148</v>
      </c>
      <c r="M51" s="55">
        <f t="shared" si="18"/>
        <v>0.1392823185</v>
      </c>
      <c r="N51" s="55">
        <f t="shared" si="18"/>
        <v>0.1497604791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</row>
    <row r="52">
      <c r="A52" s="1"/>
      <c r="B52" s="1"/>
      <c r="C52" s="56" t="s">
        <v>49</v>
      </c>
      <c r="D52" s="57"/>
      <c r="E52" s="58">
        <f t="shared" ref="E52:N52" si="19">-E44/E46</f>
        <v>1.859318277</v>
      </c>
      <c r="F52" s="58">
        <f t="shared" si="19"/>
        <v>2.067169545</v>
      </c>
      <c r="G52" s="58">
        <f t="shared" si="19"/>
        <v>2.172431505</v>
      </c>
      <c r="H52" s="58">
        <f t="shared" si="19"/>
        <v>2.279491419</v>
      </c>
      <c r="I52" s="58">
        <f t="shared" si="19"/>
        <v>2.391824008</v>
      </c>
      <c r="J52" s="58">
        <f t="shared" si="19"/>
        <v>2.509690496</v>
      </c>
      <c r="K52" s="58">
        <f t="shared" si="19"/>
        <v>2.633365096</v>
      </c>
      <c r="L52" s="58">
        <f t="shared" si="19"/>
        <v>2.763135656</v>
      </c>
      <c r="M52" s="58">
        <f t="shared" si="19"/>
        <v>2.899304344</v>
      </c>
      <c r="N52" s="58">
        <f t="shared" si="19"/>
        <v>3.042188351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</row>
    <row r="54">
      <c r="A54" s="1"/>
      <c r="B54" s="1"/>
      <c r="C54" s="59" t="s">
        <v>50</v>
      </c>
      <c r="D54" s="60">
        <f>-D12</f>
        <v>-1650000</v>
      </c>
      <c r="E54" s="61">
        <f t="shared" ref="E54:G54" si="20">E48</f>
        <v>103977.5115</v>
      </c>
      <c r="F54" s="61">
        <f t="shared" si="20"/>
        <v>129127.515</v>
      </c>
      <c r="G54" s="62">
        <f t="shared" si="20"/>
        <v>141864.2121</v>
      </c>
      <c r="H54" s="63">
        <f>115500+9502</f>
        <v>125002</v>
      </c>
      <c r="I54" s="62">
        <f>(D12*0.07)</f>
        <v>115500</v>
      </c>
      <c r="J54" s="61">
        <f>(D12*0.07)</f>
        <v>115500</v>
      </c>
      <c r="K54" s="61">
        <f t="shared" ref="K54:N54" si="21">($D$12*0.07)</f>
        <v>115500</v>
      </c>
      <c r="L54" s="61">
        <f t="shared" si="21"/>
        <v>115500</v>
      </c>
      <c r="M54" s="61">
        <f t="shared" si="21"/>
        <v>115500</v>
      </c>
      <c r="N54" s="61">
        <f t="shared" si="21"/>
        <v>115500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</row>
    <row r="55">
      <c r="A55" s="1"/>
      <c r="B55" s="1"/>
      <c r="C55" s="59" t="s">
        <v>51</v>
      </c>
      <c r="D55" s="64"/>
      <c r="E55" s="61">
        <v>0.0</v>
      </c>
      <c r="F55" s="61">
        <f t="shared" ref="F55:N55" si="22">(F48-F54)/2</f>
        <v>0</v>
      </c>
      <c r="G55" s="61">
        <f t="shared" si="22"/>
        <v>0</v>
      </c>
      <c r="H55" s="61">
        <f t="shared" si="22"/>
        <v>14908.23086</v>
      </c>
      <c r="I55" s="61">
        <f t="shared" si="22"/>
        <v>26455.35249</v>
      </c>
      <c r="J55" s="61">
        <f t="shared" si="22"/>
        <v>33586.275</v>
      </c>
      <c r="K55" s="61">
        <f t="shared" si="22"/>
        <v>41068.58828</v>
      </c>
      <c r="L55" s="61">
        <f t="shared" si="22"/>
        <v>48919.70722</v>
      </c>
      <c r="M55" s="61">
        <f t="shared" si="22"/>
        <v>57157.91279</v>
      </c>
      <c r="N55" s="61">
        <f t="shared" si="22"/>
        <v>65802.39524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</row>
    <row r="56">
      <c r="A56" s="1"/>
      <c r="B56" s="1"/>
      <c r="C56" s="59" t="s">
        <v>52</v>
      </c>
      <c r="D56" s="64"/>
      <c r="E56" s="61">
        <v>0.0</v>
      </c>
      <c r="F56" s="61">
        <f>(F48-F54)/2</f>
        <v>0</v>
      </c>
      <c r="G56" s="61">
        <f t="shared" ref="G56:H56" si="23">G55</f>
        <v>0</v>
      </c>
      <c r="H56" s="61">
        <f t="shared" si="23"/>
        <v>14908.23086</v>
      </c>
      <c r="I56" s="61">
        <f t="shared" ref="I56:N56" si="24">(I48-I54)/2</f>
        <v>26455.35249</v>
      </c>
      <c r="J56" s="61">
        <f t="shared" si="24"/>
        <v>33586.275</v>
      </c>
      <c r="K56" s="61">
        <f t="shared" si="24"/>
        <v>41068.58828</v>
      </c>
      <c r="L56" s="61">
        <f t="shared" si="24"/>
        <v>48919.70722</v>
      </c>
      <c r="M56" s="61">
        <f t="shared" si="24"/>
        <v>57157.91279</v>
      </c>
      <c r="N56" s="61">
        <f t="shared" si="24"/>
        <v>65802.39524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</row>
    <row r="57">
      <c r="A57" s="1"/>
      <c r="B57" s="1"/>
      <c r="C57" s="59" t="s">
        <v>53</v>
      </c>
      <c r="D57" s="64"/>
      <c r="E57" s="65">
        <f>E54/D12</f>
        <v>0.06301667364</v>
      </c>
      <c r="F57" s="65">
        <f>(F54+F55)/D12</f>
        <v>0.0782591</v>
      </c>
      <c r="G57" s="65">
        <f t="shared" ref="G57:N57" si="25">(G54+G55)/$D$12</f>
        <v>0.08597831037</v>
      </c>
      <c r="H57" s="65">
        <f t="shared" si="25"/>
        <v>0.08479407931</v>
      </c>
      <c r="I57" s="65">
        <f t="shared" si="25"/>
        <v>0.08603354696</v>
      </c>
      <c r="J57" s="65">
        <f t="shared" si="25"/>
        <v>0.09035531818</v>
      </c>
      <c r="K57" s="65">
        <f t="shared" si="25"/>
        <v>0.09489005351</v>
      </c>
      <c r="L57" s="65">
        <f t="shared" si="25"/>
        <v>0.0996483074</v>
      </c>
      <c r="M57" s="65">
        <f t="shared" si="25"/>
        <v>0.1046411593</v>
      </c>
      <c r="N57" s="65">
        <f t="shared" si="25"/>
        <v>0.1098802395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</row>
    <row r="59">
      <c r="A59" s="1"/>
      <c r="B59" s="1"/>
      <c r="C59" s="66"/>
      <c r="D59" s="66"/>
      <c r="E59" s="67" t="s">
        <v>54</v>
      </c>
      <c r="F59" s="68" t="s">
        <v>55</v>
      </c>
      <c r="G59" s="68" t="s">
        <v>56</v>
      </c>
      <c r="H59" s="69"/>
      <c r="I59" s="70"/>
      <c r="J59" s="69"/>
      <c r="K59" s="6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</row>
    <row r="60">
      <c r="A60" s="1"/>
      <c r="B60" s="1"/>
      <c r="C60" s="71" t="s">
        <v>57</v>
      </c>
      <c r="D60" s="72"/>
      <c r="E60" s="68" t="s">
        <v>58</v>
      </c>
      <c r="F60" s="73">
        <f>K44/0.07</f>
        <v>4551959.665</v>
      </c>
      <c r="G60" s="74">
        <f t="array" ref="G60">IRR({D54,E54,F54+F55,G54+G55,H54+H55,I54+I55,J54+J55,K54+K55+(0.7*F60)})</f>
        <v>0.1618205601</v>
      </c>
      <c r="H60" s="69"/>
      <c r="I60" s="69"/>
      <c r="J60" s="69"/>
      <c r="K60" s="6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</row>
    <row r="61">
      <c r="A61" s="1"/>
      <c r="B61" s="1"/>
      <c r="C61" s="75"/>
      <c r="D61" s="76"/>
      <c r="E61" s="68" t="s">
        <v>59</v>
      </c>
      <c r="F61" s="73">
        <f>I44/0.06</f>
        <v>4823511.75</v>
      </c>
      <c r="G61" s="74">
        <f t="array" ref="G61">IRR({D54,E54,F54+F55,G54+G55,H54+H55,I54+I55,J54+J55,K54+K55+(0.7*F61)})</f>
        <v>0.1695799569</v>
      </c>
      <c r="H61" s="69"/>
      <c r="I61" s="69"/>
      <c r="J61" s="69"/>
      <c r="K61" s="6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</row>
    <row r="62">
      <c r="A62" s="1"/>
      <c r="B62" s="1"/>
      <c r="C62" s="75"/>
      <c r="D62" s="76"/>
      <c r="E62" s="68" t="s">
        <v>60</v>
      </c>
      <c r="F62" s="73">
        <f>K44/0.05</f>
        <v>6372743.531</v>
      </c>
      <c r="G62" s="74">
        <f t="array" ref="G62">IRR({D54,E54,F54+F55,G54+G55,H54+H55,I54+I55,J54+J55,K54+K55+(0.7+F62)})</f>
        <v>0.2621468925</v>
      </c>
      <c r="H62" s="69"/>
      <c r="I62" s="69"/>
      <c r="J62" s="69"/>
      <c r="K62" s="6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</row>
    <row r="63">
      <c r="A63" s="1"/>
      <c r="B63" s="1"/>
      <c r="C63" s="77"/>
      <c r="D63" s="78"/>
      <c r="E63" s="79" t="s">
        <v>61</v>
      </c>
      <c r="F63" s="73">
        <f>K44/0.04</f>
        <v>7965929.414</v>
      </c>
      <c r="G63" s="74">
        <f t="array" ref="G63">IRR({D54,E54,F54+F55,G54+G55,H54+H55,I54+I55,J54+J55,K54+K55+(0.7*F63)})</f>
        <v>0.2415566686</v>
      </c>
      <c r="H63" s="69"/>
      <c r="I63" s="69"/>
      <c r="J63" s="69"/>
      <c r="K63" s="6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</row>
    <row r="66" hidden="1">
      <c r="A66" s="1"/>
      <c r="B66" s="1"/>
      <c r="C66" s="69"/>
      <c r="D66" s="1" t="s">
        <v>62</v>
      </c>
      <c r="E66" s="40" t="str">
        <f t="shared" ref="E66:K66" si="26">(E30+E32+E36+#REF!+E37+E38+E39+E40+E33)/$D$4</f>
        <v>#REF!</v>
      </c>
      <c r="F66" s="40" t="str">
        <f t="shared" si="26"/>
        <v>#REF!</v>
      </c>
      <c r="G66" s="40" t="str">
        <f t="shared" si="26"/>
        <v>#REF!</v>
      </c>
      <c r="H66" s="40" t="str">
        <f t="shared" si="26"/>
        <v>#REF!</v>
      </c>
      <c r="I66" s="40" t="str">
        <f t="shared" si="26"/>
        <v>#REF!</v>
      </c>
      <c r="J66" s="40" t="str">
        <f t="shared" si="26"/>
        <v>#REF!</v>
      </c>
      <c r="K66" s="40" t="str">
        <f t="shared" si="26"/>
        <v>#REF!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</row>
    <row r="67" hidden="1">
      <c r="A67" s="1"/>
      <c r="B67" s="1"/>
      <c r="C67" s="69"/>
      <c r="D67" s="1" t="s">
        <v>63</v>
      </c>
      <c r="E67" s="40">
        <f t="shared" ref="E67:K67" si="27">E34/$D$4</f>
        <v>3.441717236</v>
      </c>
      <c r="F67" s="40">
        <f t="shared" si="27"/>
        <v>4.619146816</v>
      </c>
      <c r="G67" s="40">
        <f t="shared" si="27"/>
        <v>4.757721221</v>
      </c>
      <c r="H67" s="40">
        <f t="shared" si="27"/>
        <v>4.900452858</v>
      </c>
      <c r="I67" s="40">
        <f t="shared" si="27"/>
        <v>5.047466443</v>
      </c>
      <c r="J67" s="40">
        <f t="shared" si="27"/>
        <v>5.198890437</v>
      </c>
      <c r="K67" s="40">
        <f t="shared" si="27"/>
        <v>5.35485715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</row>
    <row r="68" hidden="1">
      <c r="A68" s="1"/>
      <c r="B68" s="1"/>
      <c r="C68" s="70"/>
      <c r="D68" s="1" t="s">
        <v>37</v>
      </c>
      <c r="E68" s="40">
        <f t="shared" ref="E68:K68" si="28">E35/$D$4</f>
        <v>1.6</v>
      </c>
      <c r="F68" s="40">
        <f t="shared" si="28"/>
        <v>1.648</v>
      </c>
      <c r="G68" s="40">
        <f t="shared" si="28"/>
        <v>1.69744</v>
      </c>
      <c r="H68" s="40">
        <f t="shared" si="28"/>
        <v>1.7483632</v>
      </c>
      <c r="I68" s="40">
        <f t="shared" si="28"/>
        <v>1.800814096</v>
      </c>
      <c r="J68" s="40">
        <f t="shared" si="28"/>
        <v>1.854838519</v>
      </c>
      <c r="K68" s="40">
        <f t="shared" si="28"/>
        <v>1.910483674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</row>
    <row r="69" hidden="1">
      <c r="A69" s="1"/>
      <c r="B69" s="1"/>
      <c r="C69" s="69"/>
      <c r="D69" s="1"/>
      <c r="E69" s="40"/>
      <c r="F69" s="80"/>
      <c r="G69" s="40"/>
      <c r="H69" s="40"/>
      <c r="I69" s="40"/>
      <c r="J69" s="40"/>
      <c r="K69" s="40">
        <v>8.92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</row>
    <row r="70" hidden="1">
      <c r="A70" s="1"/>
      <c r="B70" s="1"/>
      <c r="C70" s="1"/>
      <c r="D70" s="1" t="s">
        <v>64</v>
      </c>
      <c r="E70" s="1" t="str">
        <f>SUM(E66:E68)</f>
        <v>#REF!</v>
      </c>
      <c r="F70" s="1" t="str">
        <f>SUM(F66:F69)</f>
        <v>#REF!</v>
      </c>
      <c r="G70" s="1" t="str">
        <f t="shared" ref="G70:J70" si="29">SUM(G66:G68)</f>
        <v>#REF!</v>
      </c>
      <c r="H70" s="1" t="str">
        <f t="shared" si="29"/>
        <v>#REF!</v>
      </c>
      <c r="I70" s="1" t="str">
        <f t="shared" si="29"/>
        <v>#REF!</v>
      </c>
      <c r="J70" s="1" t="str">
        <f t="shared" si="29"/>
        <v>#REF!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1">
    <mergeCell ref="C60:D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5.0"/>
    <col customWidth="1" min="3" max="3" width="8.0"/>
    <col customWidth="1" min="4" max="4" width="12.0"/>
    <col customWidth="1" min="5" max="6" width="15.0"/>
    <col customWidth="1" min="7" max="8" width="12.0"/>
    <col customWidth="1" min="9" max="9" width="12.43"/>
    <col customWidth="1" min="10" max="10" width="12.86"/>
    <col customWidth="1" min="11" max="11" width="12.57"/>
    <col customWidth="1" min="12" max="12" width="14.71"/>
    <col customWidth="1" hidden="1" min="13" max="13" width="12.71"/>
    <col customWidth="1" hidden="1" min="14" max="14" width="9.86"/>
    <col customWidth="1" hidden="1" min="15" max="15" width="8.71"/>
    <col customWidth="1" min="16" max="22" width="8.71"/>
  </cols>
  <sheetData>
    <row r="1">
      <c r="A1" s="81" t="s">
        <v>65</v>
      </c>
      <c r="B1" s="81"/>
      <c r="C1" s="81"/>
      <c r="D1" s="81"/>
      <c r="E1" s="81"/>
      <c r="F1" s="81"/>
    </row>
    <row r="2">
      <c r="A2" s="82" t="s">
        <v>66</v>
      </c>
      <c r="B2" s="82"/>
      <c r="C2" s="82"/>
      <c r="D2" s="82"/>
      <c r="E2" s="82"/>
      <c r="F2" s="82"/>
    </row>
    <row r="3">
      <c r="A3" s="83" t="s">
        <v>67</v>
      </c>
      <c r="B3" s="83"/>
      <c r="C3" s="83"/>
      <c r="D3" s="83"/>
      <c r="E3" s="83"/>
      <c r="F3" s="83"/>
    </row>
    <row r="5">
      <c r="A5" s="84" t="s">
        <v>68</v>
      </c>
      <c r="B5" s="84" t="s">
        <v>69</v>
      </c>
      <c r="C5" s="84" t="s">
        <v>70</v>
      </c>
      <c r="D5" s="84" t="s">
        <v>71</v>
      </c>
      <c r="E5" s="84" t="s">
        <v>72</v>
      </c>
      <c r="F5" s="85" t="s">
        <v>16</v>
      </c>
      <c r="G5" s="86" t="s">
        <v>17</v>
      </c>
      <c r="H5" s="86" t="s">
        <v>18</v>
      </c>
      <c r="I5" s="86" t="s">
        <v>19</v>
      </c>
      <c r="J5" s="86" t="s">
        <v>20</v>
      </c>
      <c r="K5" s="86" t="s">
        <v>21</v>
      </c>
      <c r="L5" s="86" t="s">
        <v>22</v>
      </c>
      <c r="M5" s="86" t="s">
        <v>23</v>
      </c>
      <c r="N5" s="86" t="s">
        <v>24</v>
      </c>
      <c r="O5" s="86" t="s">
        <v>25</v>
      </c>
    </row>
    <row r="6">
      <c r="A6" s="87" t="s">
        <v>73</v>
      </c>
      <c r="B6" s="87" t="s">
        <v>74</v>
      </c>
      <c r="C6" s="88">
        <v>952.0</v>
      </c>
      <c r="D6" s="89">
        <v>21.3</v>
      </c>
      <c r="E6" s="89">
        <v>1689.8</v>
      </c>
      <c r="F6" s="89">
        <v>20277.6</v>
      </c>
      <c r="G6" s="90">
        <f t="shared" ref="G6:G8" si="2">$C$20*C6</f>
        <v>23324</v>
      </c>
      <c r="H6" s="90">
        <f t="shared" ref="H6:O6" si="1">G6*1.05</f>
        <v>24490.2</v>
      </c>
      <c r="I6" s="90">
        <f t="shared" si="1"/>
        <v>25714.71</v>
      </c>
      <c r="J6" s="90">
        <f t="shared" si="1"/>
        <v>27000.4455</v>
      </c>
      <c r="K6" s="90">
        <f t="shared" si="1"/>
        <v>28350.46778</v>
      </c>
      <c r="L6" s="90">
        <f t="shared" si="1"/>
        <v>29767.99116</v>
      </c>
      <c r="M6" s="90">
        <f t="shared" si="1"/>
        <v>31256.39072</v>
      </c>
      <c r="N6" s="90">
        <f t="shared" si="1"/>
        <v>32819.21026</v>
      </c>
      <c r="O6" s="90">
        <f t="shared" si="1"/>
        <v>34460.17077</v>
      </c>
    </row>
    <row r="7">
      <c r="A7" s="87" t="s">
        <v>75</v>
      </c>
      <c r="B7" s="87" t="s">
        <v>76</v>
      </c>
      <c r="C7" s="88">
        <v>750.0</v>
      </c>
      <c r="D7" s="89">
        <v>21.91</v>
      </c>
      <c r="E7" s="89">
        <v>1369.19</v>
      </c>
      <c r="F7" s="89">
        <v>16430.28</v>
      </c>
      <c r="G7" s="90">
        <f t="shared" si="2"/>
        <v>18375</v>
      </c>
      <c r="H7" s="90">
        <f t="shared" ref="H7:O7" si="3">G7*1.05</f>
        <v>19293.75</v>
      </c>
      <c r="I7" s="90">
        <f t="shared" si="3"/>
        <v>20258.4375</v>
      </c>
      <c r="J7" s="90">
        <f t="shared" si="3"/>
        <v>21271.35938</v>
      </c>
      <c r="K7" s="90">
        <f t="shared" si="3"/>
        <v>22334.92734</v>
      </c>
      <c r="L7" s="90">
        <f t="shared" si="3"/>
        <v>23451.67371</v>
      </c>
      <c r="M7" s="90">
        <f t="shared" si="3"/>
        <v>24624.2574</v>
      </c>
      <c r="N7" s="90">
        <f t="shared" si="3"/>
        <v>25855.47027</v>
      </c>
      <c r="O7" s="90">
        <f t="shared" si="3"/>
        <v>27148.24378</v>
      </c>
    </row>
    <row r="8">
      <c r="A8" s="87" t="s">
        <v>77</v>
      </c>
      <c r="B8" s="87" t="s">
        <v>78</v>
      </c>
      <c r="C8" s="88">
        <v>789.0</v>
      </c>
      <c r="D8" s="89">
        <v>23.46</v>
      </c>
      <c r="E8" s="89">
        <v>1542.75</v>
      </c>
      <c r="F8" s="89">
        <v>18513.0</v>
      </c>
      <c r="G8" s="90">
        <f t="shared" si="2"/>
        <v>19330.5</v>
      </c>
      <c r="H8" s="90">
        <f t="shared" ref="H8:O8" si="4">G8*1.05</f>
        <v>20297.025</v>
      </c>
      <c r="I8" s="90">
        <f t="shared" si="4"/>
        <v>21311.87625</v>
      </c>
      <c r="J8" s="90">
        <f t="shared" si="4"/>
        <v>22377.47006</v>
      </c>
      <c r="K8" s="90">
        <f t="shared" si="4"/>
        <v>23496.34357</v>
      </c>
      <c r="L8" s="90">
        <f t="shared" si="4"/>
        <v>24671.16074</v>
      </c>
      <c r="M8" s="90">
        <f t="shared" si="4"/>
        <v>25904.71878</v>
      </c>
      <c r="N8" s="90">
        <f t="shared" si="4"/>
        <v>27199.95472</v>
      </c>
      <c r="O8" s="90">
        <f t="shared" si="4"/>
        <v>28559.95246</v>
      </c>
    </row>
    <row r="9">
      <c r="A9" s="87" t="s">
        <v>79</v>
      </c>
      <c r="B9" s="87" t="s">
        <v>80</v>
      </c>
      <c r="C9" s="88">
        <v>1000.0</v>
      </c>
      <c r="D9" s="89">
        <v>6.0</v>
      </c>
      <c r="E9" s="89">
        <v>500.0</v>
      </c>
      <c r="F9" s="89">
        <f>C20*C9</f>
        <v>24500</v>
      </c>
      <c r="G9" s="91">
        <f t="shared" ref="G9:O9" si="5">F9*1.05</f>
        <v>25725</v>
      </c>
      <c r="H9" s="91">
        <f t="shared" si="5"/>
        <v>27011.25</v>
      </c>
      <c r="I9" s="91">
        <f t="shared" si="5"/>
        <v>28361.8125</v>
      </c>
      <c r="J9" s="91">
        <f t="shared" si="5"/>
        <v>29779.90313</v>
      </c>
      <c r="K9" s="91">
        <f t="shared" si="5"/>
        <v>31268.89828</v>
      </c>
      <c r="L9" s="91">
        <f t="shared" si="5"/>
        <v>32832.3432</v>
      </c>
      <c r="M9" s="91">
        <f t="shared" si="5"/>
        <v>34473.96036</v>
      </c>
      <c r="N9" s="91">
        <f t="shared" si="5"/>
        <v>36197.65837</v>
      </c>
      <c r="O9" s="91">
        <f t="shared" si="5"/>
        <v>38007.54129</v>
      </c>
    </row>
    <row r="10">
      <c r="A10" s="87" t="s">
        <v>81</v>
      </c>
      <c r="B10" s="87" t="s">
        <v>82</v>
      </c>
      <c r="C10" s="88">
        <v>3150.0</v>
      </c>
      <c r="D10" s="89">
        <v>28.83</v>
      </c>
      <c r="E10" s="89">
        <v>7569.17</v>
      </c>
      <c r="F10" s="89">
        <v>90830.04</v>
      </c>
      <c r="G10" s="90">
        <f t="shared" ref="G10:G16" si="7">$C$20*C10</f>
        <v>77175</v>
      </c>
      <c r="H10" s="90">
        <f t="shared" ref="H10:O10" si="6">G10*1.05</f>
        <v>81033.75</v>
      </c>
      <c r="I10" s="90">
        <f t="shared" si="6"/>
        <v>85085.4375</v>
      </c>
      <c r="J10" s="90">
        <f t="shared" si="6"/>
        <v>89339.70938</v>
      </c>
      <c r="K10" s="90">
        <f t="shared" si="6"/>
        <v>93806.69484</v>
      </c>
      <c r="L10" s="90">
        <f t="shared" si="6"/>
        <v>98497.02959</v>
      </c>
      <c r="M10" s="90">
        <f t="shared" si="6"/>
        <v>103421.8811</v>
      </c>
      <c r="N10" s="90">
        <f t="shared" si="6"/>
        <v>108592.9751</v>
      </c>
      <c r="O10" s="90">
        <f t="shared" si="6"/>
        <v>114022.6239</v>
      </c>
    </row>
    <row r="11">
      <c r="A11" s="87" t="s">
        <v>83</v>
      </c>
      <c r="B11" s="87" t="s">
        <v>84</v>
      </c>
      <c r="C11" s="88">
        <v>1009.0</v>
      </c>
      <c r="D11" s="89">
        <v>21.84</v>
      </c>
      <c r="E11" s="89">
        <v>1836.11</v>
      </c>
      <c r="F11" s="89">
        <v>22033.32</v>
      </c>
      <c r="G11" s="90">
        <f t="shared" si="7"/>
        <v>24720.5</v>
      </c>
      <c r="H11" s="90">
        <f t="shared" ref="H11:O11" si="8">G11*1.05</f>
        <v>25956.525</v>
      </c>
      <c r="I11" s="90">
        <f t="shared" si="8"/>
        <v>27254.35125</v>
      </c>
      <c r="J11" s="90">
        <f t="shared" si="8"/>
        <v>28617.06881</v>
      </c>
      <c r="K11" s="90">
        <f t="shared" si="8"/>
        <v>30047.92225</v>
      </c>
      <c r="L11" s="90">
        <f t="shared" si="8"/>
        <v>31550.31837</v>
      </c>
      <c r="M11" s="90">
        <f t="shared" si="8"/>
        <v>33127.83428</v>
      </c>
      <c r="N11" s="90">
        <f t="shared" si="8"/>
        <v>34784.226</v>
      </c>
      <c r="O11" s="90">
        <f t="shared" si="8"/>
        <v>36523.4373</v>
      </c>
    </row>
    <row r="12">
      <c r="A12" s="87" t="s">
        <v>85</v>
      </c>
      <c r="B12" s="87" t="s">
        <v>86</v>
      </c>
      <c r="C12" s="88">
        <v>1200.0</v>
      </c>
      <c r="D12" s="89">
        <v>26.69</v>
      </c>
      <c r="E12" s="89">
        <v>2669.0</v>
      </c>
      <c r="F12" s="89">
        <v>32028.0</v>
      </c>
      <c r="G12" s="90">
        <f t="shared" si="7"/>
        <v>29400</v>
      </c>
      <c r="H12" s="90">
        <f t="shared" ref="H12:O12" si="9">G12*1.05</f>
        <v>30870</v>
      </c>
      <c r="I12" s="90">
        <f t="shared" si="9"/>
        <v>32413.5</v>
      </c>
      <c r="J12" s="90">
        <f t="shared" si="9"/>
        <v>34034.175</v>
      </c>
      <c r="K12" s="90">
        <f t="shared" si="9"/>
        <v>35735.88375</v>
      </c>
      <c r="L12" s="90">
        <f t="shared" si="9"/>
        <v>37522.67794</v>
      </c>
      <c r="M12" s="90">
        <f t="shared" si="9"/>
        <v>39398.81183</v>
      </c>
      <c r="N12" s="90">
        <f t="shared" si="9"/>
        <v>41368.75243</v>
      </c>
      <c r="O12" s="90">
        <f t="shared" si="9"/>
        <v>43437.19005</v>
      </c>
    </row>
    <row r="13">
      <c r="A13" s="87" t="s">
        <v>87</v>
      </c>
      <c r="B13" s="87" t="s">
        <v>88</v>
      </c>
      <c r="C13" s="88">
        <v>550.0</v>
      </c>
      <c r="D13" s="89">
        <v>16.19</v>
      </c>
      <c r="E13" s="89">
        <v>1051.88</v>
      </c>
      <c r="F13" s="89">
        <v>12622.56</v>
      </c>
      <c r="G13" s="90">
        <f t="shared" si="7"/>
        <v>13475</v>
      </c>
      <c r="H13" s="90">
        <f t="shared" ref="H13:O13" si="10">G13*1.05</f>
        <v>14148.75</v>
      </c>
      <c r="I13" s="90">
        <f t="shared" si="10"/>
        <v>14856.1875</v>
      </c>
      <c r="J13" s="90">
        <f t="shared" si="10"/>
        <v>15598.99688</v>
      </c>
      <c r="K13" s="90">
        <f t="shared" si="10"/>
        <v>16378.94672</v>
      </c>
      <c r="L13" s="90">
        <f t="shared" si="10"/>
        <v>17197.89405</v>
      </c>
      <c r="M13" s="90">
        <f t="shared" si="10"/>
        <v>18057.78876</v>
      </c>
      <c r="N13" s="90">
        <f t="shared" si="10"/>
        <v>18960.6782</v>
      </c>
      <c r="O13" s="90">
        <f t="shared" si="10"/>
        <v>19908.71211</v>
      </c>
    </row>
    <row r="14">
      <c r="A14" s="87" t="s">
        <v>89</v>
      </c>
      <c r="B14" s="87" t="s">
        <v>90</v>
      </c>
      <c r="C14" s="88">
        <v>1041.0</v>
      </c>
      <c r="D14" s="89">
        <v>19.86</v>
      </c>
      <c r="E14" s="89">
        <v>1723.1</v>
      </c>
      <c r="F14" s="89">
        <v>20677.2</v>
      </c>
      <c r="G14" s="90">
        <f t="shared" si="7"/>
        <v>25504.5</v>
      </c>
      <c r="H14" s="90">
        <f t="shared" ref="H14:O14" si="11">G14*1.05</f>
        <v>26779.725</v>
      </c>
      <c r="I14" s="90">
        <f t="shared" si="11"/>
        <v>28118.71125</v>
      </c>
      <c r="J14" s="90">
        <f t="shared" si="11"/>
        <v>29524.64681</v>
      </c>
      <c r="K14" s="90">
        <f t="shared" si="11"/>
        <v>31000.87915</v>
      </c>
      <c r="L14" s="90">
        <f t="shared" si="11"/>
        <v>32550.92311</v>
      </c>
      <c r="M14" s="90">
        <f t="shared" si="11"/>
        <v>34178.46927</v>
      </c>
      <c r="N14" s="90">
        <f t="shared" si="11"/>
        <v>35887.39273</v>
      </c>
      <c r="O14" s="90">
        <f t="shared" si="11"/>
        <v>37681.76237</v>
      </c>
    </row>
    <row r="15">
      <c r="A15" s="87" t="s">
        <v>91</v>
      </c>
      <c r="B15" s="87" t="s">
        <v>92</v>
      </c>
      <c r="C15" s="88">
        <v>300.0</v>
      </c>
      <c r="D15" s="92">
        <v>24.0</v>
      </c>
      <c r="E15" s="92">
        <v>381.25</v>
      </c>
      <c r="F15" s="92">
        <f t="shared" ref="F15:F16" si="13">D15*C15/2</f>
        <v>3600</v>
      </c>
      <c r="G15" s="90">
        <f t="shared" si="7"/>
        <v>7350</v>
      </c>
      <c r="H15" s="90">
        <f t="shared" ref="H15:O15" si="12">G15*1.05</f>
        <v>7717.5</v>
      </c>
      <c r="I15" s="90">
        <f t="shared" si="12"/>
        <v>8103.375</v>
      </c>
      <c r="J15" s="90">
        <f t="shared" si="12"/>
        <v>8508.54375</v>
      </c>
      <c r="K15" s="90">
        <f t="shared" si="12"/>
        <v>8933.970938</v>
      </c>
      <c r="L15" s="90">
        <f t="shared" si="12"/>
        <v>9380.669484</v>
      </c>
      <c r="M15" s="90">
        <f t="shared" si="12"/>
        <v>9849.702959</v>
      </c>
      <c r="N15" s="90">
        <f t="shared" si="12"/>
        <v>10342.18811</v>
      </c>
      <c r="O15" s="90">
        <f t="shared" si="12"/>
        <v>10859.29751</v>
      </c>
    </row>
    <row r="16">
      <c r="A16" s="87" t="s">
        <v>93</v>
      </c>
      <c r="B16" s="87" t="s">
        <v>94</v>
      </c>
      <c r="C16" s="88">
        <v>300.0</v>
      </c>
      <c r="D16" s="92">
        <v>24.0</v>
      </c>
      <c r="E16" s="92">
        <v>381.25</v>
      </c>
      <c r="F16" s="92">
        <f t="shared" si="13"/>
        <v>3600</v>
      </c>
      <c r="G16" s="90">
        <f t="shared" si="7"/>
        <v>7350</v>
      </c>
      <c r="H16" s="90">
        <f t="shared" ref="H16:O16" si="14">G16*1.05</f>
        <v>7717.5</v>
      </c>
      <c r="I16" s="90">
        <f t="shared" si="14"/>
        <v>8103.375</v>
      </c>
      <c r="J16" s="90">
        <f t="shared" si="14"/>
        <v>8508.54375</v>
      </c>
      <c r="K16" s="90">
        <f t="shared" si="14"/>
        <v>8933.970938</v>
      </c>
      <c r="L16" s="90">
        <f t="shared" si="14"/>
        <v>9380.669484</v>
      </c>
      <c r="M16" s="90">
        <f t="shared" si="14"/>
        <v>9849.702959</v>
      </c>
      <c r="N16" s="90">
        <f t="shared" si="14"/>
        <v>10342.18811</v>
      </c>
      <c r="O16" s="90">
        <f t="shared" si="14"/>
        <v>10859.29751</v>
      </c>
    </row>
    <row r="17">
      <c r="A17" s="93" t="s">
        <v>95</v>
      </c>
      <c r="B17" s="94"/>
      <c r="C17" s="95">
        <f>SUM(C6:C16)</f>
        <v>11041</v>
      </c>
      <c r="D17" s="94"/>
      <c r="E17" s="96">
        <f t="shared" ref="E17:O17" si="15">SUM(E6:E16)</f>
        <v>20713.5</v>
      </c>
      <c r="F17" s="96">
        <f t="shared" si="15"/>
        <v>265112</v>
      </c>
      <c r="G17" s="97">
        <f t="shared" si="15"/>
        <v>271729.5</v>
      </c>
      <c r="H17" s="97">
        <f t="shared" si="15"/>
        <v>285315.975</v>
      </c>
      <c r="I17" s="97">
        <f t="shared" si="15"/>
        <v>299581.7738</v>
      </c>
      <c r="J17" s="97">
        <f t="shared" si="15"/>
        <v>314560.8624</v>
      </c>
      <c r="K17" s="97">
        <f t="shared" si="15"/>
        <v>330288.9056</v>
      </c>
      <c r="L17" s="97">
        <f t="shared" si="15"/>
        <v>346803.3508</v>
      </c>
      <c r="M17" s="97">
        <f t="shared" si="15"/>
        <v>364143.5184</v>
      </c>
      <c r="N17" s="97">
        <f t="shared" si="15"/>
        <v>382350.6943</v>
      </c>
      <c r="O17" s="97">
        <f t="shared" si="15"/>
        <v>401468.229</v>
      </c>
    </row>
    <row r="18">
      <c r="F18" s="98">
        <f>F17/Proforma!$D$4</f>
        <v>24.01159315</v>
      </c>
      <c r="G18" s="99">
        <f>G17/Proforma!$D$4</f>
        <v>24.6109501</v>
      </c>
      <c r="H18" s="99">
        <f>H17/Proforma!$D$4</f>
        <v>25.8414976</v>
      </c>
      <c r="I18" s="99">
        <f>I17/Proforma!$D$4</f>
        <v>27.13357248</v>
      </c>
      <c r="J18" s="99">
        <f>J17/Proforma!$D$4</f>
        <v>28.4902511</v>
      </c>
      <c r="K18" s="99">
        <f>K17/Proforma!$D$4</f>
        <v>29.91476366</v>
      </c>
      <c r="L18" s="99">
        <f>L17/Proforma!$D$4</f>
        <v>31.41050184</v>
      </c>
    </row>
    <row r="20">
      <c r="B20" s="100" t="s">
        <v>96</v>
      </c>
      <c r="C20" s="101">
        <v>24.5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5.0"/>
    <col customWidth="1" min="3" max="3" width="8.0"/>
    <col customWidth="1" min="4" max="4" width="12.0"/>
    <col customWidth="1" min="5" max="6" width="15.0"/>
    <col customWidth="1" min="7" max="7" width="12.0"/>
    <col customWidth="1" min="8" max="9" width="14.0"/>
    <col customWidth="1" min="10" max="10" width="12.0"/>
    <col customWidth="1" min="11" max="26" width="8.71"/>
  </cols>
  <sheetData>
    <row r="1">
      <c r="A1" s="81" t="s">
        <v>65</v>
      </c>
    </row>
    <row r="2">
      <c r="A2" s="82" t="s">
        <v>66</v>
      </c>
    </row>
    <row r="3">
      <c r="A3" s="83" t="s">
        <v>67</v>
      </c>
    </row>
    <row r="5">
      <c r="A5" s="102" t="s">
        <v>68</v>
      </c>
      <c r="B5" s="102" t="s">
        <v>69</v>
      </c>
      <c r="C5" s="102" t="s">
        <v>70</v>
      </c>
      <c r="D5" s="102" t="s">
        <v>71</v>
      </c>
      <c r="E5" s="102" t="s">
        <v>97</v>
      </c>
      <c r="F5" s="102" t="s">
        <v>72</v>
      </c>
      <c r="G5" s="102" t="s">
        <v>98</v>
      </c>
      <c r="H5" s="102" t="s">
        <v>99</v>
      </c>
      <c r="I5" s="102" t="s">
        <v>100</v>
      </c>
      <c r="J5" s="102" t="s">
        <v>101</v>
      </c>
    </row>
    <row r="6">
      <c r="A6" s="87" t="s">
        <v>73</v>
      </c>
      <c r="B6" s="87" t="s">
        <v>74</v>
      </c>
      <c r="C6" s="87">
        <v>952.0</v>
      </c>
      <c r="D6" s="89">
        <v>21.3</v>
      </c>
      <c r="E6" s="89">
        <v>20277.6</v>
      </c>
      <c r="F6" s="89">
        <v>1689.8</v>
      </c>
      <c r="G6" s="87"/>
      <c r="H6" s="87" t="s">
        <v>102</v>
      </c>
      <c r="I6" s="87" t="s">
        <v>103</v>
      </c>
      <c r="J6" s="87"/>
    </row>
    <row r="7">
      <c r="A7" s="87" t="s">
        <v>75</v>
      </c>
      <c r="B7" s="87" t="s">
        <v>76</v>
      </c>
      <c r="C7" s="87">
        <v>750.0</v>
      </c>
      <c r="D7" s="89">
        <v>21.91</v>
      </c>
      <c r="E7" s="89">
        <v>16430.28</v>
      </c>
      <c r="F7" s="89">
        <v>1369.19</v>
      </c>
      <c r="G7" s="87"/>
      <c r="H7" s="87" t="s">
        <v>104</v>
      </c>
      <c r="I7" s="87" t="s">
        <v>105</v>
      </c>
      <c r="J7" s="87"/>
    </row>
    <row r="8">
      <c r="A8" s="87" t="s">
        <v>77</v>
      </c>
      <c r="B8" s="87" t="s">
        <v>78</v>
      </c>
      <c r="C8" s="87">
        <v>789.0</v>
      </c>
      <c r="D8" s="89">
        <v>23.46</v>
      </c>
      <c r="E8" s="89">
        <v>18513.0</v>
      </c>
      <c r="F8" s="89">
        <v>1542.75</v>
      </c>
      <c r="G8" s="87"/>
      <c r="H8" s="87" t="s">
        <v>106</v>
      </c>
      <c r="I8" s="87" t="s">
        <v>103</v>
      </c>
      <c r="J8" s="87"/>
    </row>
    <row r="9">
      <c r="A9" s="87" t="s">
        <v>79</v>
      </c>
      <c r="B9" s="87" t="s">
        <v>80</v>
      </c>
      <c r="C9" s="87">
        <v>1000.0</v>
      </c>
      <c r="D9" s="103">
        <v>6.0</v>
      </c>
      <c r="E9" s="89">
        <v>6000.0</v>
      </c>
      <c r="F9" s="89">
        <v>500.0</v>
      </c>
      <c r="G9" s="87" t="s">
        <v>107</v>
      </c>
      <c r="H9" s="87" t="s">
        <v>108</v>
      </c>
      <c r="I9" s="87" t="s">
        <v>109</v>
      </c>
      <c r="J9" s="87"/>
    </row>
    <row r="10">
      <c r="A10" s="87" t="s">
        <v>81</v>
      </c>
      <c r="B10" s="87" t="s">
        <v>82</v>
      </c>
      <c r="C10" s="87">
        <v>3150.0</v>
      </c>
      <c r="D10" s="89">
        <v>28.83</v>
      </c>
      <c r="E10" s="89">
        <v>90830.04</v>
      </c>
      <c r="F10" s="89">
        <v>7569.17</v>
      </c>
      <c r="G10" s="87" t="s">
        <v>107</v>
      </c>
      <c r="H10" s="87" t="s">
        <v>110</v>
      </c>
      <c r="I10" s="87" t="s">
        <v>111</v>
      </c>
      <c r="J10" s="87" t="s">
        <v>112</v>
      </c>
    </row>
    <row r="11">
      <c r="A11" s="87" t="s">
        <v>83</v>
      </c>
      <c r="B11" s="87" t="s">
        <v>84</v>
      </c>
      <c r="C11" s="87">
        <v>1009.0</v>
      </c>
      <c r="D11" s="89">
        <v>21.84</v>
      </c>
      <c r="E11" s="89">
        <v>22033.32</v>
      </c>
      <c r="F11" s="89">
        <v>1836.11</v>
      </c>
      <c r="G11" s="87" t="s">
        <v>107</v>
      </c>
      <c r="H11" s="87" t="s">
        <v>113</v>
      </c>
      <c r="I11" s="87" t="s">
        <v>114</v>
      </c>
      <c r="J11" s="87" t="s">
        <v>112</v>
      </c>
    </row>
    <row r="12">
      <c r="A12" s="87" t="s">
        <v>85</v>
      </c>
      <c r="B12" s="87" t="s">
        <v>86</v>
      </c>
      <c r="C12" s="87">
        <v>1200.0</v>
      </c>
      <c r="D12" s="89">
        <v>26.69</v>
      </c>
      <c r="E12" s="89">
        <v>32028.0</v>
      </c>
      <c r="F12" s="89">
        <v>2669.0</v>
      </c>
      <c r="G12" s="87" t="s">
        <v>107</v>
      </c>
      <c r="H12" s="87" t="s">
        <v>115</v>
      </c>
      <c r="I12" s="87" t="s">
        <v>116</v>
      </c>
      <c r="J12" s="87"/>
    </row>
    <row r="13">
      <c r="A13" s="87" t="s">
        <v>87</v>
      </c>
      <c r="B13" s="87" t="s">
        <v>88</v>
      </c>
      <c r="C13" s="87">
        <v>550.0</v>
      </c>
      <c r="D13" s="89">
        <v>16.19</v>
      </c>
      <c r="E13" s="89">
        <v>12622.56</v>
      </c>
      <c r="F13" s="89">
        <v>1051.88</v>
      </c>
      <c r="G13" s="87" t="s">
        <v>107</v>
      </c>
      <c r="H13" s="87" t="s">
        <v>117</v>
      </c>
      <c r="I13" s="87" t="s">
        <v>103</v>
      </c>
      <c r="J13" s="87"/>
    </row>
    <row r="14">
      <c r="A14" s="87" t="s">
        <v>89</v>
      </c>
      <c r="B14" s="87" t="s">
        <v>90</v>
      </c>
      <c r="C14" s="87">
        <v>1041.0</v>
      </c>
      <c r="D14" s="89">
        <v>19.86</v>
      </c>
      <c r="E14" s="89">
        <v>20677.2</v>
      </c>
      <c r="F14" s="89">
        <v>1723.1</v>
      </c>
      <c r="G14" s="87"/>
      <c r="H14" s="87" t="s">
        <v>118</v>
      </c>
      <c r="I14" s="87" t="s">
        <v>103</v>
      </c>
      <c r="J14" s="87"/>
    </row>
    <row r="15">
      <c r="A15" s="87" t="s">
        <v>91</v>
      </c>
      <c r="B15" s="87" t="s">
        <v>92</v>
      </c>
      <c r="C15" s="87">
        <v>300.0</v>
      </c>
      <c r="D15" s="89"/>
      <c r="E15" s="89"/>
      <c r="F15" s="89"/>
      <c r="G15" s="87"/>
      <c r="H15" s="87"/>
      <c r="I15" s="87"/>
      <c r="J15" s="87"/>
    </row>
    <row r="16">
      <c r="A16" s="87" t="s">
        <v>93</v>
      </c>
      <c r="B16" s="87" t="s">
        <v>94</v>
      </c>
      <c r="C16" s="87">
        <v>300.0</v>
      </c>
      <c r="D16" s="89"/>
      <c r="E16" s="89"/>
      <c r="F16" s="89"/>
      <c r="G16" s="87"/>
      <c r="H16" s="87"/>
      <c r="I16" s="87"/>
      <c r="J16" s="87"/>
    </row>
    <row r="17">
      <c r="A17" s="93" t="s">
        <v>95</v>
      </c>
      <c r="B17" s="94"/>
      <c r="C17" s="95">
        <f>SUM(C6:C16)</f>
        <v>11041</v>
      </c>
      <c r="D17" s="94"/>
      <c r="E17" s="96">
        <f>F17*12</f>
        <v>239412</v>
      </c>
      <c r="F17" s="96">
        <f>SUM(F6:F16)</f>
        <v>19951</v>
      </c>
      <c r="G17" s="94"/>
      <c r="H17" s="94"/>
      <c r="I17" s="94"/>
      <c r="J17" s="9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2026-03-17T13:10:41+00:00Z</dcterms:created>
  <dc:creator>openpyxl</dc:creator>
</cp:coreProperties>
</file>